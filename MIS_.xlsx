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moccomz-my.sharepoint.com/personal/joaquim_macaringue_petromoc_co_mz/Documents/Documents/Teste_Python_/VS_CODE___Projectos___/"/>
    </mc:Choice>
  </mc:AlternateContent>
  <xr:revisionPtr revIDLastSave="79" documentId="13_ncr:1_{75CF5221-A157-4E2B-8AC7-7D2E0EC81B6E}" xr6:coauthVersionLast="47" xr6:coauthVersionMax="47" xr10:uidLastSave="{B5C9CA9D-E9C7-4C6E-9A8B-20E0DC499E28}"/>
  <bookViews>
    <workbookView xWindow="5916" yWindow="24" windowWidth="17232" windowHeight="18456" xr2:uid="{44AB2857-A5D8-4FFE-85A8-D51626210AC9}"/>
  </bookViews>
  <sheets>
    <sheet name="MIS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9" i="10" l="1"/>
  <c r="I289" i="10"/>
  <c r="J288" i="10"/>
  <c r="I288" i="10"/>
  <c r="J287" i="10"/>
  <c r="I287" i="10"/>
  <c r="J286" i="10"/>
  <c r="I286" i="10"/>
  <c r="J285" i="10"/>
  <c r="I285" i="10"/>
  <c r="J284" i="10"/>
  <c r="I284" i="10"/>
  <c r="J283" i="10"/>
  <c r="I283" i="10"/>
  <c r="J282" i="10"/>
  <c r="I282" i="10"/>
  <c r="J281" i="10"/>
  <c r="I281" i="10"/>
  <c r="J280" i="10"/>
  <c r="I280" i="10"/>
  <c r="J279" i="10"/>
  <c r="I279" i="10"/>
  <c r="J278" i="10"/>
  <c r="I278" i="10"/>
  <c r="J277" i="10"/>
  <c r="I277" i="10"/>
  <c r="J276" i="10"/>
  <c r="I276" i="10"/>
  <c r="J275" i="10"/>
  <c r="I275" i="10"/>
  <c r="J274" i="10"/>
  <c r="I274" i="10"/>
  <c r="J273" i="10"/>
  <c r="I273" i="10"/>
  <c r="J272" i="10"/>
  <c r="I272" i="10"/>
  <c r="J271" i="10"/>
  <c r="I271" i="10"/>
  <c r="J270" i="10"/>
  <c r="I270" i="10"/>
  <c r="J269" i="10"/>
  <c r="I269" i="10"/>
  <c r="J268" i="10"/>
  <c r="I268" i="10"/>
  <c r="J267" i="10"/>
  <c r="I267" i="10"/>
  <c r="J266" i="10"/>
  <c r="I266" i="10"/>
  <c r="J265" i="10"/>
  <c r="I265" i="10"/>
  <c r="J264" i="10"/>
  <c r="I264" i="10"/>
  <c r="J263" i="10"/>
  <c r="I263" i="10"/>
  <c r="J262" i="10"/>
  <c r="I262" i="10"/>
  <c r="J261" i="10"/>
  <c r="I261" i="10"/>
  <c r="J260" i="10"/>
  <c r="I260" i="10"/>
  <c r="J259" i="10"/>
  <c r="I259" i="10"/>
  <c r="J258" i="10"/>
  <c r="I258" i="10"/>
  <c r="J257" i="10"/>
  <c r="I257" i="10"/>
  <c r="J256" i="10"/>
  <c r="I256" i="10"/>
  <c r="J255" i="10"/>
  <c r="I255" i="10"/>
  <c r="J254" i="10"/>
  <c r="I254" i="10"/>
  <c r="J253" i="10"/>
  <c r="I253" i="10"/>
  <c r="J252" i="10"/>
  <c r="I252" i="10"/>
  <c r="J251" i="10"/>
  <c r="I251" i="10"/>
  <c r="J250" i="10"/>
  <c r="I250" i="10"/>
  <c r="J249" i="10"/>
  <c r="I249" i="10"/>
  <c r="J248" i="10"/>
  <c r="I248" i="10"/>
  <c r="J247" i="10"/>
  <c r="I247" i="10"/>
  <c r="J246" i="10"/>
  <c r="I246" i="10"/>
  <c r="J245" i="10"/>
  <c r="I245" i="10"/>
  <c r="J244" i="10"/>
  <c r="I244" i="10"/>
  <c r="J243" i="10"/>
  <c r="I243" i="10"/>
  <c r="J242" i="10"/>
  <c r="I242" i="10"/>
  <c r="J241" i="10"/>
  <c r="I241" i="10"/>
  <c r="J240" i="10"/>
  <c r="I240" i="10"/>
  <c r="J239" i="10"/>
  <c r="I239" i="10"/>
  <c r="J238" i="10"/>
  <c r="I238" i="10"/>
  <c r="J237" i="10"/>
  <c r="I237" i="10"/>
  <c r="J236" i="10"/>
  <c r="I236" i="10"/>
  <c r="J235" i="10"/>
  <c r="I235" i="10"/>
  <c r="J234" i="10"/>
  <c r="I234" i="10"/>
  <c r="J233" i="10"/>
  <c r="I233" i="10"/>
  <c r="J232" i="10"/>
  <c r="I232" i="10"/>
  <c r="J231" i="10"/>
  <c r="I231" i="10"/>
  <c r="J230" i="10"/>
  <c r="I230" i="10"/>
  <c r="J229" i="10"/>
  <c r="I229" i="10"/>
  <c r="J228" i="10"/>
  <c r="I228" i="10"/>
  <c r="J227" i="10"/>
  <c r="I227" i="10"/>
  <c r="J226" i="10"/>
  <c r="I226" i="10"/>
  <c r="J225" i="10"/>
  <c r="I225" i="10"/>
  <c r="J224" i="10"/>
  <c r="I224" i="10"/>
  <c r="J223" i="10"/>
  <c r="I223" i="10"/>
  <c r="J222" i="10"/>
  <c r="I222" i="10"/>
  <c r="J221" i="10"/>
  <c r="I221" i="10"/>
  <c r="J220" i="10"/>
  <c r="I220" i="10"/>
  <c r="J219" i="10"/>
  <c r="I219" i="10"/>
  <c r="J218" i="10"/>
  <c r="I218" i="10"/>
  <c r="J217" i="10"/>
  <c r="I217" i="10"/>
  <c r="J216" i="10"/>
  <c r="I216" i="10"/>
  <c r="J215" i="10"/>
  <c r="I215" i="10"/>
  <c r="J214" i="10"/>
  <c r="I214" i="10"/>
  <c r="J213" i="10"/>
  <c r="I213" i="10"/>
  <c r="J212" i="10"/>
  <c r="I212" i="10"/>
  <c r="J211" i="10"/>
  <c r="I211" i="10"/>
  <c r="J210" i="10"/>
  <c r="I210" i="10"/>
  <c r="J209" i="10"/>
  <c r="I209" i="10"/>
  <c r="J208" i="10"/>
  <c r="I208" i="10"/>
  <c r="J207" i="10"/>
  <c r="I207" i="10"/>
  <c r="J206" i="10"/>
  <c r="I206" i="10"/>
  <c r="J205" i="10"/>
  <c r="I205" i="10"/>
  <c r="J204" i="10"/>
  <c r="I204" i="10"/>
  <c r="J203" i="10"/>
  <c r="I203" i="10"/>
  <c r="J202" i="10"/>
  <c r="I202" i="10"/>
  <c r="J201" i="10"/>
  <c r="I201" i="10"/>
  <c r="J200" i="10"/>
  <c r="I200" i="10"/>
  <c r="J199" i="10"/>
  <c r="I199" i="10"/>
  <c r="J198" i="10"/>
  <c r="I198" i="10"/>
  <c r="J197" i="10"/>
  <c r="I197" i="10"/>
  <c r="J196" i="10"/>
  <c r="I196" i="10"/>
  <c r="J195" i="10"/>
  <c r="I195" i="10"/>
  <c r="J194" i="10"/>
  <c r="I194" i="10"/>
  <c r="J193" i="10"/>
  <c r="I193" i="10"/>
  <c r="J192" i="10"/>
  <c r="I192" i="10"/>
  <c r="J191" i="10"/>
  <c r="I191" i="10"/>
  <c r="J190" i="10"/>
  <c r="I190" i="10"/>
  <c r="J189" i="10"/>
  <c r="I189" i="10"/>
  <c r="J188" i="10"/>
  <c r="I188" i="10"/>
  <c r="J187" i="10"/>
  <c r="I187" i="10"/>
  <c r="J186" i="10"/>
  <c r="I186" i="10"/>
  <c r="J185" i="10"/>
  <c r="I185" i="10"/>
  <c r="J184" i="10"/>
  <c r="I184" i="10"/>
  <c r="J183" i="10"/>
  <c r="I183" i="10"/>
  <c r="J182" i="10"/>
  <c r="I182" i="10"/>
  <c r="J181" i="10"/>
  <c r="I181" i="10"/>
  <c r="J180" i="10"/>
  <c r="I180" i="10"/>
  <c r="J179" i="10"/>
  <c r="I179" i="10"/>
  <c r="J178" i="10"/>
  <c r="I178" i="10"/>
  <c r="J177" i="10"/>
  <c r="I177" i="10"/>
  <c r="J176" i="10"/>
  <c r="I176" i="10"/>
  <c r="J175" i="10"/>
  <c r="I175" i="10"/>
  <c r="J174" i="10"/>
  <c r="I174" i="10"/>
  <c r="J173" i="10"/>
  <c r="I173" i="10"/>
  <c r="J172" i="10"/>
  <c r="I172" i="10"/>
  <c r="J171" i="10"/>
  <c r="I171" i="10"/>
  <c r="J170" i="10"/>
  <c r="I170" i="10"/>
  <c r="J169" i="10"/>
  <c r="I169" i="10"/>
  <c r="J168" i="10"/>
  <c r="I168" i="10"/>
  <c r="J167" i="10"/>
  <c r="I167" i="10"/>
  <c r="J166" i="10"/>
  <c r="I166" i="10"/>
  <c r="J165" i="10"/>
  <c r="I165" i="10"/>
  <c r="J164" i="10"/>
  <c r="I164" i="10"/>
  <c r="J163" i="10"/>
  <c r="I163" i="10"/>
  <c r="J162" i="10"/>
  <c r="I162" i="10"/>
  <c r="J161" i="10"/>
  <c r="I161" i="10"/>
  <c r="J160" i="10"/>
  <c r="I160" i="10"/>
  <c r="J159" i="10"/>
  <c r="I159" i="10"/>
  <c r="J158" i="10"/>
  <c r="I158" i="10"/>
  <c r="J157" i="10"/>
  <c r="I157" i="10"/>
  <c r="J156" i="10"/>
  <c r="I156" i="10"/>
  <c r="J155" i="10"/>
  <c r="I155" i="10"/>
  <c r="J154" i="10"/>
  <c r="I154" i="10"/>
  <c r="J153" i="10"/>
  <c r="I153" i="10"/>
  <c r="J152" i="10"/>
  <c r="I152" i="10"/>
  <c r="J151" i="10"/>
  <c r="I151" i="10"/>
  <c r="J150" i="10"/>
  <c r="I150" i="10"/>
  <c r="J149" i="10"/>
  <c r="I149" i="10"/>
  <c r="J148" i="10"/>
  <c r="I148" i="10"/>
  <c r="J147" i="10"/>
  <c r="I147" i="10"/>
  <c r="J146" i="10"/>
  <c r="I146" i="10"/>
  <c r="J145" i="10"/>
  <c r="I145" i="10"/>
  <c r="J144" i="10"/>
  <c r="I144" i="10"/>
  <c r="J143" i="10"/>
  <c r="I143" i="10"/>
  <c r="J142" i="10"/>
  <c r="I142" i="10"/>
  <c r="J141" i="10"/>
  <c r="I141" i="10"/>
  <c r="J140" i="10"/>
  <c r="I140" i="10"/>
  <c r="J139" i="10"/>
  <c r="I139" i="10"/>
  <c r="J138" i="10"/>
  <c r="I138" i="10"/>
  <c r="J137" i="10"/>
  <c r="I137" i="10"/>
  <c r="J136" i="10"/>
  <c r="I136" i="10"/>
  <c r="J135" i="10"/>
  <c r="I135" i="10"/>
  <c r="J134" i="10"/>
  <c r="I134" i="10"/>
  <c r="J133" i="10"/>
  <c r="I133" i="10"/>
  <c r="J132" i="10"/>
  <c r="I132" i="10"/>
  <c r="J131" i="10"/>
  <c r="I131" i="10"/>
  <c r="J130" i="10"/>
  <c r="I130" i="10"/>
  <c r="J129" i="10"/>
  <c r="I129" i="10"/>
  <c r="J128" i="10"/>
  <c r="I128" i="10"/>
  <c r="J127" i="10"/>
  <c r="I127" i="10"/>
  <c r="J126" i="10"/>
  <c r="I126" i="10"/>
  <c r="J125" i="10"/>
  <c r="I125" i="10"/>
  <c r="J124" i="10"/>
  <c r="I124" i="10"/>
  <c r="J123" i="10"/>
  <c r="I123" i="10"/>
  <c r="J122" i="10"/>
  <c r="I122" i="10"/>
  <c r="J121" i="10"/>
  <c r="I121" i="10"/>
  <c r="J120" i="10"/>
  <c r="I120" i="10"/>
  <c r="J119" i="10"/>
  <c r="I119" i="10"/>
  <c r="J118" i="10"/>
  <c r="I118" i="10"/>
  <c r="J117" i="10"/>
  <c r="I117" i="10"/>
  <c r="J116" i="10"/>
  <c r="I116" i="10"/>
  <c r="J115" i="10"/>
  <c r="I115" i="10"/>
  <c r="J114" i="10"/>
  <c r="I114" i="10"/>
  <c r="J113" i="10"/>
  <c r="I113" i="10"/>
  <c r="J112" i="10"/>
  <c r="I112" i="10"/>
  <c r="J111" i="10"/>
  <c r="I111" i="10"/>
  <c r="J110" i="10"/>
  <c r="I110" i="10"/>
  <c r="J109" i="10"/>
  <c r="I109" i="10"/>
  <c r="J108" i="10"/>
  <c r="I108" i="10"/>
  <c r="J107" i="10"/>
  <c r="I107" i="10"/>
  <c r="J106" i="10"/>
  <c r="I106" i="10"/>
  <c r="J105" i="10"/>
  <c r="I105" i="10"/>
  <c r="J104" i="10"/>
  <c r="I104" i="10"/>
  <c r="J103" i="10"/>
  <c r="I103" i="10"/>
  <c r="J102" i="10"/>
  <c r="I102" i="10"/>
  <c r="J101" i="10"/>
  <c r="I101" i="10"/>
  <c r="J100" i="10"/>
  <c r="I100" i="10"/>
  <c r="J99" i="10"/>
  <c r="I99" i="10"/>
  <c r="J98" i="10"/>
  <c r="I98" i="10"/>
  <c r="J97" i="10"/>
  <c r="I97" i="10"/>
  <c r="J96" i="10"/>
  <c r="I96" i="10"/>
  <c r="J95" i="10"/>
  <c r="I95" i="10"/>
  <c r="J94" i="10"/>
  <c r="I94" i="10"/>
  <c r="J93" i="10"/>
  <c r="I93" i="10"/>
  <c r="J92" i="10"/>
  <c r="I92" i="10"/>
  <c r="J91" i="10"/>
  <c r="I91" i="10"/>
  <c r="J90" i="10"/>
  <c r="I90" i="10"/>
  <c r="J89" i="10"/>
  <c r="I89" i="10"/>
  <c r="J88" i="10"/>
  <c r="I88" i="10"/>
  <c r="J87" i="10"/>
  <c r="I87" i="10"/>
  <c r="J86" i="10"/>
  <c r="I86" i="10"/>
  <c r="J85" i="10"/>
  <c r="I85" i="10"/>
  <c r="J84" i="10"/>
  <c r="I84" i="10"/>
  <c r="J83" i="10"/>
  <c r="I83" i="10"/>
  <c r="J82" i="10"/>
  <c r="I82" i="10"/>
  <c r="J81" i="10"/>
  <c r="I81" i="10"/>
  <c r="J80" i="10"/>
  <c r="I80" i="10"/>
  <c r="J79" i="10"/>
  <c r="I79" i="10"/>
  <c r="J78" i="10"/>
  <c r="I78" i="10"/>
  <c r="J77" i="10"/>
  <c r="I77" i="10"/>
  <c r="J76" i="10"/>
  <c r="I76" i="10"/>
  <c r="J75" i="10"/>
  <c r="I75" i="10"/>
  <c r="J74" i="10"/>
  <c r="I74" i="10"/>
  <c r="J73" i="10"/>
  <c r="I73" i="10"/>
  <c r="J72" i="10"/>
  <c r="I72" i="10"/>
  <c r="J71" i="10"/>
  <c r="I71" i="10"/>
  <c r="J70" i="10"/>
  <c r="I70" i="10"/>
  <c r="J69" i="10"/>
  <c r="I69" i="10"/>
  <c r="J68" i="10"/>
  <c r="I68" i="10"/>
  <c r="J67" i="10"/>
  <c r="I67" i="10"/>
  <c r="J66" i="10"/>
  <c r="I66" i="10"/>
  <c r="J65" i="10"/>
  <c r="I65" i="10"/>
  <c r="J64" i="10"/>
  <c r="I64" i="10"/>
  <c r="J63" i="10"/>
  <c r="I63" i="10"/>
  <c r="J62" i="10"/>
  <c r="I62" i="10"/>
  <c r="J61" i="10"/>
  <c r="I61" i="10"/>
  <c r="J60" i="10"/>
  <c r="I60" i="10"/>
  <c r="J59" i="10"/>
  <c r="I59" i="10"/>
  <c r="J58" i="10"/>
  <c r="I58" i="10"/>
  <c r="J57" i="10"/>
  <c r="I57" i="10"/>
  <c r="J56" i="10"/>
  <c r="I56" i="10"/>
  <c r="J55" i="10"/>
  <c r="I55" i="10"/>
  <c r="J54" i="10"/>
  <c r="I54" i="10"/>
  <c r="J53" i="10"/>
  <c r="I53" i="10"/>
  <c r="J52" i="10"/>
  <c r="I52" i="10"/>
  <c r="J51" i="10"/>
  <c r="I51" i="10"/>
  <c r="J50" i="10"/>
  <c r="I50" i="10"/>
  <c r="J49" i="10"/>
  <c r="I49" i="10"/>
  <c r="J48" i="10"/>
  <c r="I48" i="10"/>
  <c r="J47" i="10"/>
  <c r="I47" i="10"/>
  <c r="J46" i="10"/>
  <c r="I46" i="10"/>
  <c r="J45" i="10"/>
  <c r="I45" i="10"/>
  <c r="J44" i="10"/>
  <c r="I44" i="10"/>
  <c r="J43" i="10"/>
  <c r="I43" i="10"/>
  <c r="J42" i="10"/>
  <c r="I42" i="10"/>
  <c r="J41" i="10"/>
  <c r="I41" i="10"/>
  <c r="J40" i="10"/>
  <c r="I40" i="10"/>
  <c r="J39" i="10"/>
  <c r="I39" i="10"/>
  <c r="J38" i="10"/>
  <c r="I38" i="10"/>
  <c r="J37" i="10"/>
  <c r="I37" i="10"/>
  <c r="J36" i="10"/>
  <c r="I36" i="10"/>
  <c r="J35" i="10"/>
  <c r="I35" i="10"/>
  <c r="J34" i="10"/>
  <c r="I34" i="10"/>
  <c r="J33" i="10"/>
  <c r="I33" i="10"/>
  <c r="J32" i="10"/>
  <c r="I32" i="10"/>
  <c r="J31" i="10"/>
  <c r="I31" i="10"/>
  <c r="J30" i="10"/>
  <c r="I30" i="10"/>
  <c r="J29" i="10"/>
  <c r="I29" i="10"/>
  <c r="J28" i="10"/>
  <c r="I28" i="10"/>
  <c r="J27" i="10"/>
  <c r="I27" i="10"/>
  <c r="J26" i="10"/>
  <c r="I26" i="10"/>
  <c r="J25" i="10"/>
  <c r="I25" i="10"/>
  <c r="J24" i="10"/>
  <c r="I24" i="10"/>
  <c r="J23" i="10"/>
  <c r="I23" i="10"/>
  <c r="J22" i="10"/>
  <c r="I22" i="10"/>
  <c r="J21" i="10"/>
  <c r="I21" i="10"/>
  <c r="J20" i="10"/>
  <c r="I20" i="10"/>
  <c r="J19" i="10"/>
  <c r="I19" i="10"/>
  <c r="J18" i="10"/>
  <c r="I18" i="10"/>
  <c r="J17" i="10"/>
  <c r="I17" i="10"/>
  <c r="J16" i="10"/>
  <c r="I16" i="10"/>
  <c r="J15" i="10"/>
  <c r="I15" i="10"/>
  <c r="J14" i="10"/>
  <c r="I14" i="10"/>
  <c r="J13" i="10"/>
  <c r="I13" i="10"/>
  <c r="J12" i="10"/>
  <c r="I12" i="10"/>
  <c r="J11" i="10"/>
  <c r="I11" i="10"/>
  <c r="J10" i="10"/>
  <c r="I10" i="10"/>
  <c r="J9" i="10"/>
  <c r="I9" i="10"/>
  <c r="J8" i="10"/>
  <c r="I8" i="10"/>
  <c r="J7" i="10"/>
  <c r="I7" i="10"/>
  <c r="J6" i="10"/>
  <c r="I6" i="10"/>
  <c r="J5" i="10"/>
  <c r="I5" i="10"/>
  <c r="J4" i="10"/>
  <c r="I4" i="10"/>
  <c r="J3" i="10"/>
  <c r="I3" i="10"/>
  <c r="J2" i="10"/>
  <c r="I2" i="10"/>
</calcChain>
</file>

<file path=xl/sharedStrings.xml><?xml version="1.0" encoding="utf-8"?>
<sst xmlns="http://schemas.openxmlformats.org/spreadsheetml/2006/main" count="11" uniqueCount="11">
  <si>
    <t>Pagamentos</t>
  </si>
  <si>
    <t>Emissor</t>
  </si>
  <si>
    <t xml:space="preserve"> Dentro_Prazo</t>
  </si>
  <si>
    <t>0_30_Dias</t>
  </si>
  <si>
    <t>31_60_Dias</t>
  </si>
  <si>
    <t>61_90_Dias</t>
  </si>
  <si>
    <t>91_365_Dias</t>
  </si>
  <si>
    <t xml:space="preserve"> Mais_365_Dias</t>
  </si>
  <si>
    <t>Fora_Prazo</t>
  </si>
  <si>
    <t xml:space="preserve">       PA_s</t>
  </si>
  <si>
    <t>Divida_Total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</si>
</sst>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name val="Century Gothic"/>
      <family val="2"/>
    </font>
    <font>
      <sz val="11"/>
      <name val="Aptos Narrow"/>
      <family val="2"/>
      <scheme val="minor"/>
    </font>
    <font>
      <b/>
      <sz val="11"/>
      <color theme="0"/>
      <name val="Century Gothic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6">
    <xf numFmtId="0" fontId="0" fillId="0" borderId="0" xfId="0"/>
    <xf numFmtId="0" fontId="19" fillId="0" borderId="0" xfId="0" applyFont="1"/>
    <xf numFmtId="3" fontId="18" fillId="0" borderId="0" xfId="0" applyNumberFormat="1" applyFont="1"/>
    <xf numFmtId="0" fontId="20" fillId="33" borderId="10" xfId="0" applyFont="1" applyFill="1" applyBorder="1" applyAlignment="1">
      <alignment horizontal="center" vertical="center"/>
    </xf>
    <xf numFmtId="3" fontId="20" fillId="33" borderId="10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8EAD27B-1D19-41F4-A31C-8596FFD15E1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D50C-F316-4FBD-9AA5-BB060E0A567D}">
  <dimension ref="A1:K289"/>
  <sheetViews>
    <sheetView tabSelected="1" workbookViewId="0">
      <selection activeCell="D1" sqref="D1"/>
    </sheetView>
  </sheetViews>
  <sheetFormatPr defaultRowHeight="14.4" x14ac:dyDescent="0.3"/>
  <cols>
    <col min="1" max="1" width="8.88671875" style="1"/>
    <col min="2" max="3" width="15.77734375" style="1" customWidth="1"/>
    <col min="4" max="4" width="13.88671875" style="1" customWidth="1"/>
    <col min="5" max="6" width="12.77734375" style="1" customWidth="1"/>
    <col min="7" max="7" width="14.6640625" style="1" bestFit="1" customWidth="1"/>
    <col min="8" max="8" width="15.5546875" style="1" bestFit="1" customWidth="1"/>
    <col min="9" max="10" width="15.77734375" style="1" customWidth="1"/>
    <col min="11" max="11" width="12.77734375" style="1" customWidth="1"/>
    <col min="12" max="16384" width="8.88671875" style="1"/>
  </cols>
  <sheetData>
    <row r="1" spans="1:11" s="5" customFormat="1" ht="19.95" customHeight="1" thickBot="1" x14ac:dyDescent="0.35">
      <c r="A1" s="3" t="s">
        <v>1</v>
      </c>
      <c r="B1" s="4" t="s">
        <v>9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0</v>
      </c>
    </row>
    <row r="2" spans="1:11" x14ac:dyDescent="0.3">
      <c r="A2" s="1">
        <v>14790</v>
      </c>
      <c r="B2" s="2">
        <v>829588174.75</v>
      </c>
      <c r="C2" s="2">
        <v>198498400.36000001</v>
      </c>
      <c r="D2" s="2">
        <v>496052636</v>
      </c>
      <c r="E2" s="2">
        <v>60004186</v>
      </c>
      <c r="F2" s="2"/>
      <c r="G2" s="2">
        <v>75032952</v>
      </c>
      <c r="H2" s="2"/>
      <c r="I2" s="2">
        <f>H2+G2+F2+E2+D2</f>
        <v>631089774</v>
      </c>
      <c r="J2" s="2">
        <f t="shared" ref="J2:J65" si="0">B2-K2</f>
        <v>829588174.75</v>
      </c>
      <c r="K2" s="2"/>
    </row>
    <row r="3" spans="1:11" x14ac:dyDescent="0.3">
      <c r="A3" s="1">
        <v>14788</v>
      </c>
      <c r="B3" s="2">
        <v>267106973.59999999</v>
      </c>
      <c r="C3" s="2">
        <v>93363042</v>
      </c>
      <c r="D3" s="2">
        <v>173743931.24000001</v>
      </c>
      <c r="E3" s="2"/>
      <c r="F3" s="2"/>
      <c r="G3" s="2"/>
      <c r="H3" s="2"/>
      <c r="I3" s="2">
        <f t="shared" ref="I3:I59" si="1">H3+G3+F3+E3+D3</f>
        <v>173743931.24000001</v>
      </c>
      <c r="J3" s="2">
        <f t="shared" si="0"/>
        <v>267106973.59999999</v>
      </c>
      <c r="K3" s="2"/>
    </row>
    <row r="4" spans="1:11" x14ac:dyDescent="0.3">
      <c r="A4" s="1">
        <v>14789</v>
      </c>
      <c r="B4" s="2">
        <v>57193558</v>
      </c>
      <c r="C4" s="2">
        <v>57193558</v>
      </c>
      <c r="D4" s="2"/>
      <c r="E4" s="2"/>
      <c r="F4" s="2"/>
      <c r="G4" s="2"/>
      <c r="H4" s="2"/>
      <c r="I4" s="2">
        <f t="shared" si="1"/>
        <v>0</v>
      </c>
      <c r="J4" s="2">
        <f t="shared" si="0"/>
        <v>57193558</v>
      </c>
      <c r="K4" s="2"/>
    </row>
    <row r="5" spans="1:11" x14ac:dyDescent="0.3">
      <c r="A5" s="1">
        <v>13498</v>
      </c>
      <c r="B5" s="2">
        <v>36685549</v>
      </c>
      <c r="C5" s="2"/>
      <c r="D5" s="2">
        <v>25065326</v>
      </c>
      <c r="E5" s="2">
        <v>7502461</v>
      </c>
      <c r="F5" s="2">
        <v>1948944</v>
      </c>
      <c r="G5" s="2">
        <v>2197297</v>
      </c>
      <c r="H5" s="2">
        <v>-28478</v>
      </c>
      <c r="I5" s="2">
        <f t="shared" si="1"/>
        <v>36685550</v>
      </c>
      <c r="J5" s="2">
        <f t="shared" si="0"/>
        <v>36685549</v>
      </c>
      <c r="K5" s="2"/>
    </row>
    <row r="6" spans="1:11" x14ac:dyDescent="0.3">
      <c r="A6" s="1">
        <v>15147</v>
      </c>
      <c r="B6" s="2">
        <v>8766740</v>
      </c>
      <c r="C6" s="2"/>
      <c r="D6" s="2">
        <v>5892356</v>
      </c>
      <c r="E6" s="2">
        <v>2874384</v>
      </c>
      <c r="F6" s="2"/>
      <c r="G6" s="2"/>
      <c r="H6" s="2"/>
      <c r="I6" s="2">
        <f t="shared" si="1"/>
        <v>8766740</v>
      </c>
      <c r="J6" s="2">
        <f t="shared" si="0"/>
        <v>8766740</v>
      </c>
      <c r="K6" s="2"/>
    </row>
    <row r="7" spans="1:11" x14ac:dyDescent="0.3">
      <c r="A7" s="1">
        <v>14960</v>
      </c>
      <c r="B7" s="2">
        <v>7797504</v>
      </c>
      <c r="C7" s="2"/>
      <c r="D7" s="2"/>
      <c r="E7" s="2">
        <v>2965615</v>
      </c>
      <c r="F7" s="2">
        <v>3705102</v>
      </c>
      <c r="G7" s="2">
        <v>1126331</v>
      </c>
      <c r="H7" s="2"/>
      <c r="I7" s="2">
        <f t="shared" si="1"/>
        <v>7797048</v>
      </c>
      <c r="J7" s="2">
        <f t="shared" si="0"/>
        <v>7797504</v>
      </c>
      <c r="K7" s="2"/>
    </row>
    <row r="8" spans="1:11" x14ac:dyDescent="0.3">
      <c r="A8" s="1">
        <v>15010</v>
      </c>
      <c r="B8" s="2">
        <v>1340154</v>
      </c>
      <c r="C8" s="2"/>
      <c r="D8" s="2">
        <v>1834348</v>
      </c>
      <c r="E8" s="2">
        <v>495787</v>
      </c>
      <c r="F8" s="2">
        <v>110019</v>
      </c>
      <c r="G8" s="2">
        <v>-1100000</v>
      </c>
      <c r="H8" s="2"/>
      <c r="I8" s="2">
        <f t="shared" si="1"/>
        <v>1340154</v>
      </c>
      <c r="J8" s="2">
        <f t="shared" si="0"/>
        <v>1340154</v>
      </c>
      <c r="K8" s="2"/>
    </row>
    <row r="9" spans="1:11" x14ac:dyDescent="0.3">
      <c r="A9" s="1">
        <v>95283</v>
      </c>
      <c r="B9" s="2">
        <v>192998</v>
      </c>
      <c r="C9" s="2"/>
      <c r="D9" s="2">
        <v>192998</v>
      </c>
      <c r="E9" s="2"/>
      <c r="F9" s="2"/>
      <c r="G9" s="2"/>
      <c r="H9" s="2"/>
      <c r="I9" s="2">
        <f t="shared" si="1"/>
        <v>192998</v>
      </c>
      <c r="J9" s="2">
        <f t="shared" si="0"/>
        <v>192998</v>
      </c>
      <c r="K9" s="2"/>
    </row>
    <row r="10" spans="1:11" x14ac:dyDescent="0.3">
      <c r="A10" s="1">
        <v>11861</v>
      </c>
      <c r="B10" s="2">
        <v>135772350.77000001</v>
      </c>
      <c r="C10" s="2">
        <v>23039694.84</v>
      </c>
      <c r="D10" s="2">
        <v>60436212</v>
      </c>
      <c r="E10" s="2">
        <v>22174337</v>
      </c>
      <c r="F10" s="2">
        <v>3155742</v>
      </c>
      <c r="G10" s="2">
        <v>-3658086.07</v>
      </c>
      <c r="H10" s="2">
        <v>30624451</v>
      </c>
      <c r="I10" s="2">
        <f t="shared" si="1"/>
        <v>112732655.93000001</v>
      </c>
      <c r="J10" s="2">
        <f t="shared" si="0"/>
        <v>135772350.77000001</v>
      </c>
      <c r="K10" s="2"/>
    </row>
    <row r="11" spans="1:11" x14ac:dyDescent="0.3">
      <c r="A11" s="1">
        <v>14576</v>
      </c>
      <c r="B11" s="2">
        <v>26983218</v>
      </c>
      <c r="C11" s="2">
        <v>5722360</v>
      </c>
      <c r="D11" s="2">
        <v>21261568</v>
      </c>
      <c r="E11" s="2"/>
      <c r="F11" s="2"/>
      <c r="G11" s="2">
        <v>-710</v>
      </c>
      <c r="H11" s="2"/>
      <c r="I11" s="2">
        <f t="shared" si="1"/>
        <v>21260858</v>
      </c>
      <c r="J11" s="2">
        <f t="shared" si="0"/>
        <v>26983218</v>
      </c>
      <c r="K11" s="2"/>
    </row>
    <row r="12" spans="1:11" x14ac:dyDescent="0.3">
      <c r="A12" s="1">
        <v>11267</v>
      </c>
      <c r="B12" s="2">
        <v>2954300</v>
      </c>
      <c r="C12" s="2">
        <v>1868266</v>
      </c>
      <c r="D12" s="2">
        <v>1086034</v>
      </c>
      <c r="E12" s="2"/>
      <c r="F12" s="2"/>
      <c r="G12" s="2"/>
      <c r="H12" s="2"/>
      <c r="I12" s="2">
        <f t="shared" si="1"/>
        <v>1086034</v>
      </c>
      <c r="J12" s="2">
        <f t="shared" si="0"/>
        <v>2954300</v>
      </c>
      <c r="K12" s="2"/>
    </row>
    <row r="13" spans="1:11" x14ac:dyDescent="0.3">
      <c r="A13" s="1">
        <v>13513</v>
      </c>
      <c r="B13" s="2">
        <v>1787220</v>
      </c>
      <c r="C13" s="2"/>
      <c r="D13" s="2">
        <v>1789400</v>
      </c>
      <c r="E13" s="2">
        <v>-1480</v>
      </c>
      <c r="F13" s="2">
        <v>-700</v>
      </c>
      <c r="G13" s="2"/>
      <c r="H13" s="2"/>
      <c r="I13" s="2">
        <f t="shared" si="1"/>
        <v>1787220</v>
      </c>
      <c r="J13" s="2">
        <f t="shared" si="0"/>
        <v>1787220</v>
      </c>
      <c r="K13" s="2"/>
    </row>
    <row r="14" spans="1:11" x14ac:dyDescent="0.3">
      <c r="A14" s="1">
        <v>12973</v>
      </c>
      <c r="B14" s="2">
        <v>16193</v>
      </c>
      <c r="C14" s="2"/>
      <c r="D14" s="2">
        <v>16193</v>
      </c>
      <c r="E14" s="2"/>
      <c r="F14" s="2"/>
      <c r="G14" s="2"/>
      <c r="H14" s="2"/>
      <c r="I14" s="2">
        <f t="shared" si="1"/>
        <v>16193</v>
      </c>
      <c r="J14" s="2">
        <f t="shared" si="0"/>
        <v>16193</v>
      </c>
      <c r="K14" s="2"/>
    </row>
    <row r="15" spans="1:11" x14ac:dyDescent="0.3">
      <c r="A15" s="1">
        <v>11724</v>
      </c>
      <c r="B15" s="2">
        <v>67364029</v>
      </c>
      <c r="C15" s="2">
        <v>29022532</v>
      </c>
      <c r="D15" s="2">
        <v>25812303</v>
      </c>
      <c r="E15" s="2">
        <v>4636855</v>
      </c>
      <c r="F15" s="2">
        <v>181321</v>
      </c>
      <c r="G15" s="2">
        <v>7755357</v>
      </c>
      <c r="H15" s="2">
        <v>-44339</v>
      </c>
      <c r="I15" s="2">
        <f t="shared" si="1"/>
        <v>38341497</v>
      </c>
      <c r="J15" s="2">
        <f t="shared" si="0"/>
        <v>67364029</v>
      </c>
      <c r="K15" s="2"/>
    </row>
    <row r="16" spans="1:11" x14ac:dyDescent="0.3">
      <c r="A16" s="1">
        <v>13079</v>
      </c>
      <c r="B16" s="2">
        <v>38875099</v>
      </c>
      <c r="C16" s="2">
        <v>2406365</v>
      </c>
      <c r="D16" s="2">
        <v>746810</v>
      </c>
      <c r="E16" s="2">
        <v>2103782</v>
      </c>
      <c r="F16" s="2">
        <v>2800498</v>
      </c>
      <c r="G16" s="2">
        <v>1836214</v>
      </c>
      <c r="H16" s="2">
        <v>28981430</v>
      </c>
      <c r="I16" s="2">
        <f t="shared" si="1"/>
        <v>36468734</v>
      </c>
      <c r="J16" s="2">
        <f t="shared" si="0"/>
        <v>38875099</v>
      </c>
      <c r="K16" s="2"/>
    </row>
    <row r="17" spans="1:11" x14ac:dyDescent="0.3">
      <c r="A17" s="1">
        <v>11375</v>
      </c>
      <c r="B17" s="2">
        <v>36096747</v>
      </c>
      <c r="C17" s="2"/>
      <c r="D17" s="2"/>
      <c r="E17" s="2"/>
      <c r="F17" s="2"/>
      <c r="G17" s="2">
        <v>3320136</v>
      </c>
      <c r="H17" s="2">
        <v>32776611</v>
      </c>
      <c r="I17" s="2">
        <f t="shared" si="1"/>
        <v>36096747</v>
      </c>
      <c r="J17" s="2">
        <f t="shared" si="0"/>
        <v>36096747</v>
      </c>
      <c r="K17" s="2"/>
    </row>
    <row r="18" spans="1:11" x14ac:dyDescent="0.3">
      <c r="A18" s="1">
        <v>10769</v>
      </c>
      <c r="B18" s="2">
        <v>2525494</v>
      </c>
      <c r="C18" s="2"/>
      <c r="D18" s="2"/>
      <c r="E18" s="2"/>
      <c r="F18" s="2"/>
      <c r="G18" s="2">
        <v>2529542</v>
      </c>
      <c r="H18" s="2">
        <v>-4048</v>
      </c>
      <c r="I18" s="2">
        <f t="shared" si="1"/>
        <v>2525494</v>
      </c>
      <c r="J18" s="2">
        <f t="shared" si="0"/>
        <v>2525494</v>
      </c>
      <c r="K18" s="2"/>
    </row>
    <row r="19" spans="1:11" x14ac:dyDescent="0.3">
      <c r="A19" s="1">
        <v>11584</v>
      </c>
      <c r="B19" s="2">
        <v>1370469</v>
      </c>
      <c r="C19" s="2"/>
      <c r="D19" s="2"/>
      <c r="E19" s="2"/>
      <c r="F19" s="2"/>
      <c r="G19" s="2">
        <v>390141</v>
      </c>
      <c r="H19" s="2">
        <v>980327</v>
      </c>
      <c r="I19" s="2">
        <f t="shared" si="1"/>
        <v>1370468</v>
      </c>
      <c r="J19" s="2">
        <f t="shared" si="0"/>
        <v>1370469</v>
      </c>
      <c r="K19" s="2"/>
    </row>
    <row r="20" spans="1:11" x14ac:dyDescent="0.3">
      <c r="A20" s="1">
        <v>10604</v>
      </c>
      <c r="B20" s="2">
        <v>78437754</v>
      </c>
      <c r="C20" s="2">
        <v>6270467</v>
      </c>
      <c r="D20" s="2">
        <v>7036423</v>
      </c>
      <c r="E20" s="2">
        <v>3503782</v>
      </c>
      <c r="F20" s="2">
        <v>3183295</v>
      </c>
      <c r="G20" s="2">
        <v>9724406</v>
      </c>
      <c r="H20" s="2">
        <v>48719380</v>
      </c>
      <c r="I20" s="2">
        <f t="shared" si="1"/>
        <v>72167286</v>
      </c>
      <c r="J20" s="2">
        <f t="shared" si="0"/>
        <v>78437754</v>
      </c>
      <c r="K20" s="2"/>
    </row>
    <row r="21" spans="1:11" x14ac:dyDescent="0.3">
      <c r="A21" s="1">
        <v>10097</v>
      </c>
      <c r="B21" s="2">
        <v>11286931</v>
      </c>
      <c r="C21" s="2">
        <v>9621341</v>
      </c>
      <c r="D21" s="2">
        <v>1093356</v>
      </c>
      <c r="E21" s="2"/>
      <c r="F21" s="2"/>
      <c r="G21" s="2">
        <v>630895</v>
      </c>
      <c r="H21" s="2">
        <v>-58661</v>
      </c>
      <c r="I21" s="2">
        <f t="shared" si="1"/>
        <v>1665590</v>
      </c>
      <c r="J21" s="2">
        <f t="shared" si="0"/>
        <v>11286931</v>
      </c>
      <c r="K21" s="2"/>
    </row>
    <row r="22" spans="1:11" x14ac:dyDescent="0.3">
      <c r="A22" s="1">
        <v>10150</v>
      </c>
      <c r="B22" s="2">
        <v>8944384</v>
      </c>
      <c r="C22" s="2">
        <v>7556351</v>
      </c>
      <c r="D22" s="2">
        <v>2515210</v>
      </c>
      <c r="E22" s="2"/>
      <c r="F22" s="2"/>
      <c r="G22" s="2"/>
      <c r="H22" s="2">
        <v>-1127177</v>
      </c>
      <c r="I22" s="2">
        <f t="shared" si="1"/>
        <v>1388033</v>
      </c>
      <c r="J22" s="2">
        <f t="shared" si="0"/>
        <v>8944384</v>
      </c>
      <c r="K22" s="2"/>
    </row>
    <row r="23" spans="1:11" x14ac:dyDescent="0.3">
      <c r="A23" s="1">
        <v>10107</v>
      </c>
      <c r="B23" s="2">
        <v>8016542</v>
      </c>
      <c r="C23" s="2">
        <v>2077838</v>
      </c>
      <c r="D23" s="2">
        <v>1786320</v>
      </c>
      <c r="E23" s="2">
        <v>1038993</v>
      </c>
      <c r="F23" s="2">
        <v>1035452</v>
      </c>
      <c r="G23" s="2">
        <v>2077939</v>
      </c>
      <c r="H23" s="2"/>
      <c r="I23" s="2">
        <f t="shared" si="1"/>
        <v>5938704</v>
      </c>
      <c r="J23" s="2">
        <f t="shared" si="0"/>
        <v>8016542</v>
      </c>
      <c r="K23" s="2"/>
    </row>
    <row r="24" spans="1:11" x14ac:dyDescent="0.3">
      <c r="A24" s="1">
        <v>13766</v>
      </c>
      <c r="B24" s="2">
        <v>3104910</v>
      </c>
      <c r="C24" s="2"/>
      <c r="D24" s="2">
        <v>3105027</v>
      </c>
      <c r="E24" s="2"/>
      <c r="F24" s="2">
        <v>-117</v>
      </c>
      <c r="G24" s="2"/>
      <c r="H24" s="2"/>
      <c r="I24" s="2">
        <f t="shared" si="1"/>
        <v>3104910</v>
      </c>
      <c r="J24" s="2">
        <f t="shared" si="0"/>
        <v>3104910</v>
      </c>
      <c r="K24" s="2"/>
    </row>
    <row r="25" spans="1:11" x14ac:dyDescent="0.3">
      <c r="A25" s="1">
        <v>14974</v>
      </c>
      <c r="B25" s="2">
        <v>1800248</v>
      </c>
      <c r="C25" s="2">
        <v>1822228</v>
      </c>
      <c r="D25" s="2">
        <v>-7748</v>
      </c>
      <c r="E25" s="2"/>
      <c r="F25" s="2"/>
      <c r="G25" s="2">
        <v>-14232</v>
      </c>
      <c r="H25" s="2"/>
      <c r="I25" s="2">
        <f t="shared" si="1"/>
        <v>-21980</v>
      </c>
      <c r="J25" s="2">
        <f t="shared" si="0"/>
        <v>1800248</v>
      </c>
      <c r="K25" s="2"/>
    </row>
    <row r="26" spans="1:11" x14ac:dyDescent="0.3">
      <c r="A26" s="1">
        <v>11145</v>
      </c>
      <c r="B26" s="2">
        <v>1140114</v>
      </c>
      <c r="C26" s="2"/>
      <c r="D26" s="2"/>
      <c r="E26" s="2"/>
      <c r="F26" s="2"/>
      <c r="G26" s="2">
        <v>1140114</v>
      </c>
      <c r="H26" s="2"/>
      <c r="I26" s="2">
        <f t="shared" si="1"/>
        <v>1140114</v>
      </c>
      <c r="J26" s="2">
        <f t="shared" si="0"/>
        <v>1140114</v>
      </c>
      <c r="K26" s="2"/>
    </row>
    <row r="27" spans="1:11" x14ac:dyDescent="0.3">
      <c r="A27" s="1">
        <v>15118</v>
      </c>
      <c r="B27" s="2">
        <v>229620</v>
      </c>
      <c r="C27" s="2"/>
      <c r="D27" s="2">
        <v>69895</v>
      </c>
      <c r="E27" s="2">
        <v>159725</v>
      </c>
      <c r="F27" s="2"/>
      <c r="G27" s="2"/>
      <c r="H27" s="2"/>
      <c r="I27" s="2">
        <f t="shared" si="1"/>
        <v>229620</v>
      </c>
      <c r="J27" s="2">
        <f t="shared" si="0"/>
        <v>229620</v>
      </c>
      <c r="K27" s="2"/>
    </row>
    <row r="28" spans="1:11" x14ac:dyDescent="0.3">
      <c r="A28" s="1">
        <v>15095</v>
      </c>
      <c r="B28" s="2">
        <v>100000</v>
      </c>
      <c r="C28" s="2"/>
      <c r="D28" s="2"/>
      <c r="E28" s="2"/>
      <c r="F28" s="2"/>
      <c r="G28" s="2">
        <v>100000</v>
      </c>
      <c r="H28" s="2"/>
      <c r="I28" s="2">
        <f t="shared" si="1"/>
        <v>100000</v>
      </c>
      <c r="J28" s="2">
        <f t="shared" si="0"/>
        <v>100000</v>
      </c>
      <c r="K28" s="2"/>
    </row>
    <row r="29" spans="1:11" x14ac:dyDescent="0.3">
      <c r="A29" s="1">
        <v>14783</v>
      </c>
      <c r="B29" s="2">
        <v>85755</v>
      </c>
      <c r="C29" s="2"/>
      <c r="D29" s="2"/>
      <c r="E29" s="2"/>
      <c r="F29" s="2"/>
      <c r="G29" s="2"/>
      <c r="H29" s="2">
        <v>85755</v>
      </c>
      <c r="I29" s="2">
        <f t="shared" si="1"/>
        <v>85755</v>
      </c>
      <c r="J29" s="2">
        <f t="shared" si="0"/>
        <v>85755</v>
      </c>
      <c r="K29" s="2"/>
    </row>
    <row r="30" spans="1:11" x14ac:dyDescent="0.3">
      <c r="A30" s="1">
        <v>15155</v>
      </c>
      <c r="B30" s="2">
        <v>94146298</v>
      </c>
      <c r="C30" s="2">
        <v>94146298</v>
      </c>
      <c r="D30" s="2"/>
      <c r="E30" s="2"/>
      <c r="F30" s="2"/>
      <c r="G30" s="2"/>
      <c r="H30" s="2"/>
      <c r="I30" s="2">
        <f t="shared" si="1"/>
        <v>0</v>
      </c>
      <c r="J30" s="2">
        <f t="shared" si="0"/>
        <v>94146298</v>
      </c>
      <c r="K30" s="2"/>
    </row>
    <row r="31" spans="1:11" x14ac:dyDescent="0.3">
      <c r="A31" s="1">
        <v>10156</v>
      </c>
      <c r="B31" s="2">
        <v>2350396</v>
      </c>
      <c r="C31" s="2">
        <v>1000933</v>
      </c>
      <c r="D31" s="2">
        <v>1350764</v>
      </c>
      <c r="E31" s="2">
        <v>192891</v>
      </c>
      <c r="F31" s="2"/>
      <c r="G31" s="2">
        <v>-194192</v>
      </c>
      <c r="H31" s="2"/>
      <c r="I31" s="2">
        <f t="shared" si="1"/>
        <v>1349463</v>
      </c>
      <c r="J31" s="2">
        <f t="shared" si="0"/>
        <v>2350396</v>
      </c>
      <c r="K31" s="2"/>
    </row>
    <row r="32" spans="1:11" x14ac:dyDescent="0.3">
      <c r="A32" s="1">
        <v>13103</v>
      </c>
      <c r="B32" s="2">
        <v>1934316</v>
      </c>
      <c r="C32" s="2"/>
      <c r="D32" s="2">
        <v>1934616</v>
      </c>
      <c r="E32" s="2"/>
      <c r="F32" s="2"/>
      <c r="G32" s="2"/>
      <c r="H32" s="2">
        <v>-300</v>
      </c>
      <c r="I32" s="2">
        <f t="shared" si="1"/>
        <v>1934316</v>
      </c>
      <c r="J32" s="2">
        <f t="shared" si="0"/>
        <v>1934316</v>
      </c>
      <c r="K32" s="2"/>
    </row>
    <row r="33" spans="1:11" x14ac:dyDescent="0.3">
      <c r="A33" s="1">
        <v>12762</v>
      </c>
      <c r="B33" s="2">
        <v>1508780</v>
      </c>
      <c r="C33" s="2"/>
      <c r="D33" s="2">
        <v>251463</v>
      </c>
      <c r="E33" s="2"/>
      <c r="F33" s="2">
        <v>251463</v>
      </c>
      <c r="G33" s="2">
        <v>1005853</v>
      </c>
      <c r="H33" s="2"/>
      <c r="I33" s="2">
        <f t="shared" si="1"/>
        <v>1508779</v>
      </c>
      <c r="J33" s="2">
        <f t="shared" si="0"/>
        <v>1508780</v>
      </c>
      <c r="K33" s="2"/>
    </row>
    <row r="34" spans="1:11" x14ac:dyDescent="0.3">
      <c r="A34" s="1">
        <v>13985</v>
      </c>
      <c r="B34" s="2">
        <v>1077870</v>
      </c>
      <c r="C34" s="2">
        <v>1077870</v>
      </c>
      <c r="D34" s="2"/>
      <c r="E34" s="2"/>
      <c r="F34" s="2"/>
      <c r="G34" s="2"/>
      <c r="H34" s="2"/>
      <c r="I34" s="2">
        <f t="shared" si="1"/>
        <v>0</v>
      </c>
      <c r="J34" s="2">
        <f t="shared" si="0"/>
        <v>1077870</v>
      </c>
      <c r="K34" s="2"/>
    </row>
    <row r="35" spans="1:11" x14ac:dyDescent="0.3">
      <c r="A35" s="1">
        <v>14641</v>
      </c>
      <c r="B35" s="2">
        <v>878232</v>
      </c>
      <c r="C35" s="2"/>
      <c r="D35" s="2"/>
      <c r="E35" s="2"/>
      <c r="F35" s="2"/>
      <c r="G35" s="2"/>
      <c r="H35" s="2">
        <v>878232</v>
      </c>
      <c r="I35" s="2">
        <f t="shared" si="1"/>
        <v>878232</v>
      </c>
      <c r="J35" s="2">
        <f t="shared" si="0"/>
        <v>878232</v>
      </c>
      <c r="K35" s="2"/>
    </row>
    <row r="36" spans="1:11" x14ac:dyDescent="0.3">
      <c r="A36" s="1">
        <v>95314</v>
      </c>
      <c r="B36" s="2">
        <v>320000</v>
      </c>
      <c r="C36" s="2"/>
      <c r="D36" s="2"/>
      <c r="E36" s="2"/>
      <c r="F36" s="2"/>
      <c r="G36" s="2">
        <v>-125000</v>
      </c>
      <c r="H36" s="2">
        <v>445000</v>
      </c>
      <c r="I36" s="2">
        <f t="shared" si="1"/>
        <v>320000</v>
      </c>
      <c r="J36" s="2">
        <f t="shared" si="0"/>
        <v>320000</v>
      </c>
      <c r="K36" s="2"/>
    </row>
    <row r="37" spans="1:11" x14ac:dyDescent="0.3">
      <c r="A37" s="1">
        <v>10245</v>
      </c>
      <c r="B37" s="2">
        <v>215911</v>
      </c>
      <c r="C37" s="2"/>
      <c r="D37" s="2">
        <v>250273</v>
      </c>
      <c r="E37" s="2"/>
      <c r="F37" s="2">
        <v>-29446</v>
      </c>
      <c r="G37" s="2">
        <v>-4916</v>
      </c>
      <c r="H37" s="2"/>
      <c r="I37" s="2">
        <f t="shared" si="1"/>
        <v>215911</v>
      </c>
      <c r="J37" s="2">
        <f t="shared" si="0"/>
        <v>215911</v>
      </c>
      <c r="K37" s="2"/>
    </row>
    <row r="38" spans="1:11" x14ac:dyDescent="0.3">
      <c r="A38" s="1">
        <v>14734</v>
      </c>
      <c r="B38" s="2">
        <v>81734</v>
      </c>
      <c r="C38" s="2"/>
      <c r="D38" s="2"/>
      <c r="E38" s="2"/>
      <c r="F38" s="2"/>
      <c r="G38" s="2"/>
      <c r="H38" s="2">
        <v>81734</v>
      </c>
      <c r="I38" s="2">
        <f t="shared" si="1"/>
        <v>81734</v>
      </c>
      <c r="J38" s="2">
        <f t="shared" si="0"/>
        <v>81734</v>
      </c>
      <c r="K38" s="2"/>
    </row>
    <row r="39" spans="1:11" x14ac:dyDescent="0.3">
      <c r="A39" s="1">
        <v>15139</v>
      </c>
      <c r="B39" s="2">
        <v>72624</v>
      </c>
      <c r="C39" s="2"/>
      <c r="D39" s="2">
        <v>72624</v>
      </c>
      <c r="E39" s="2"/>
      <c r="F39" s="2"/>
      <c r="G39" s="2"/>
      <c r="H39" s="2"/>
      <c r="I39" s="2">
        <f t="shared" si="1"/>
        <v>72624</v>
      </c>
      <c r="J39" s="2">
        <f t="shared" si="0"/>
        <v>72624</v>
      </c>
      <c r="K39" s="2"/>
    </row>
    <row r="40" spans="1:11" x14ac:dyDescent="0.3">
      <c r="A40" s="1">
        <v>14891</v>
      </c>
      <c r="B40" s="2">
        <v>22200</v>
      </c>
      <c r="C40" s="2"/>
      <c r="D40" s="2"/>
      <c r="E40" s="2"/>
      <c r="F40" s="2">
        <v>22200</v>
      </c>
      <c r="G40" s="2"/>
      <c r="H40" s="2"/>
      <c r="I40" s="2">
        <f t="shared" si="1"/>
        <v>22200</v>
      </c>
      <c r="J40" s="2">
        <f t="shared" si="0"/>
        <v>22200</v>
      </c>
      <c r="K40" s="2"/>
    </row>
    <row r="41" spans="1:11" x14ac:dyDescent="0.3">
      <c r="A41" s="1">
        <v>10505</v>
      </c>
      <c r="B41" s="2">
        <v>52848599</v>
      </c>
      <c r="C41" s="2">
        <v>24438199</v>
      </c>
      <c r="D41" s="2">
        <v>28231773</v>
      </c>
      <c r="E41" s="2"/>
      <c r="F41" s="2"/>
      <c r="G41" s="2">
        <v>178628</v>
      </c>
      <c r="H41" s="2"/>
      <c r="I41" s="2">
        <f t="shared" si="1"/>
        <v>28410401</v>
      </c>
      <c r="J41" s="2">
        <f t="shared" si="0"/>
        <v>52848599</v>
      </c>
      <c r="K41" s="2"/>
    </row>
    <row r="42" spans="1:11" x14ac:dyDescent="0.3">
      <c r="A42" s="1">
        <v>12593</v>
      </c>
      <c r="B42" s="2">
        <v>1284816</v>
      </c>
      <c r="C42" s="2">
        <v>1284816</v>
      </c>
      <c r="D42" s="2"/>
      <c r="E42" s="2"/>
      <c r="F42" s="2"/>
      <c r="G42" s="2"/>
      <c r="H42" s="2"/>
      <c r="I42" s="2">
        <f t="shared" si="1"/>
        <v>0</v>
      </c>
      <c r="J42" s="2">
        <f t="shared" si="0"/>
        <v>1284816</v>
      </c>
      <c r="K42" s="2"/>
    </row>
    <row r="43" spans="1:11" x14ac:dyDescent="0.3">
      <c r="A43" s="1">
        <v>13697</v>
      </c>
      <c r="B43" s="2">
        <v>232</v>
      </c>
      <c r="C43" s="2"/>
      <c r="D43" s="2"/>
      <c r="E43" s="2"/>
      <c r="F43" s="2"/>
      <c r="G43" s="2"/>
      <c r="H43" s="2">
        <v>232</v>
      </c>
      <c r="I43" s="2">
        <f t="shared" si="1"/>
        <v>232</v>
      </c>
      <c r="J43" s="2">
        <f t="shared" si="0"/>
        <v>232</v>
      </c>
      <c r="K43" s="2"/>
    </row>
    <row r="44" spans="1:11" x14ac:dyDescent="0.3">
      <c r="A44" s="1">
        <v>14477</v>
      </c>
      <c r="B44" s="2">
        <v>191</v>
      </c>
      <c r="C44" s="2"/>
      <c r="D44" s="2"/>
      <c r="E44" s="2"/>
      <c r="F44" s="2"/>
      <c r="G44" s="2"/>
      <c r="H44" s="2">
        <v>191</v>
      </c>
      <c r="I44" s="2">
        <f t="shared" si="1"/>
        <v>191</v>
      </c>
      <c r="J44" s="2">
        <f t="shared" si="0"/>
        <v>191</v>
      </c>
      <c r="K44" s="2"/>
    </row>
    <row r="45" spans="1:11" x14ac:dyDescent="0.3">
      <c r="A45" s="1">
        <v>10242</v>
      </c>
      <c r="B45" s="2">
        <v>26854124</v>
      </c>
      <c r="C45" s="2"/>
      <c r="D45" s="2">
        <v>26331295</v>
      </c>
      <c r="E45" s="2">
        <v>522829</v>
      </c>
      <c r="F45" s="2"/>
      <c r="G45" s="2"/>
      <c r="H45" s="2"/>
      <c r="I45" s="2">
        <f t="shared" si="1"/>
        <v>26854124</v>
      </c>
      <c r="J45" s="2">
        <f t="shared" si="0"/>
        <v>26854124</v>
      </c>
      <c r="K45" s="2"/>
    </row>
    <row r="46" spans="1:11" x14ac:dyDescent="0.3">
      <c r="A46" s="1">
        <v>10699</v>
      </c>
      <c r="B46" s="2">
        <v>11846674</v>
      </c>
      <c r="C46" s="2"/>
      <c r="D46" s="2">
        <v>6241750</v>
      </c>
      <c r="E46" s="2">
        <v>5604924</v>
      </c>
      <c r="F46" s="2"/>
      <c r="G46" s="2"/>
      <c r="H46" s="2"/>
      <c r="I46" s="2">
        <f t="shared" si="1"/>
        <v>11846674</v>
      </c>
      <c r="J46" s="2">
        <f t="shared" si="0"/>
        <v>11846674</v>
      </c>
      <c r="K46" s="2"/>
    </row>
    <row r="47" spans="1:11" x14ac:dyDescent="0.3">
      <c r="A47" s="1">
        <v>10693</v>
      </c>
      <c r="B47" s="2">
        <v>4691015</v>
      </c>
      <c r="C47" s="2"/>
      <c r="D47" s="2">
        <v>4691015</v>
      </c>
      <c r="E47" s="2"/>
      <c r="F47" s="2"/>
      <c r="G47" s="2"/>
      <c r="H47" s="2"/>
      <c r="I47" s="2">
        <f t="shared" si="1"/>
        <v>4691015</v>
      </c>
      <c r="J47" s="2">
        <f t="shared" si="0"/>
        <v>4691015</v>
      </c>
      <c r="K47" s="2"/>
    </row>
    <row r="48" spans="1:11" x14ac:dyDescent="0.3">
      <c r="A48" s="1">
        <v>13689</v>
      </c>
      <c r="B48" s="2">
        <v>4533498</v>
      </c>
      <c r="C48" s="2">
        <v>4042728</v>
      </c>
      <c r="D48" s="2">
        <v>161511</v>
      </c>
      <c r="E48" s="2">
        <v>-2969</v>
      </c>
      <c r="F48" s="2">
        <v>10461</v>
      </c>
      <c r="G48" s="2">
        <v>342766</v>
      </c>
      <c r="H48" s="2">
        <v>-21000</v>
      </c>
      <c r="I48" s="2">
        <f t="shared" si="1"/>
        <v>490769</v>
      </c>
      <c r="J48" s="2">
        <f t="shared" si="0"/>
        <v>4533498</v>
      </c>
      <c r="K48" s="2"/>
    </row>
    <row r="49" spans="1:11" x14ac:dyDescent="0.3">
      <c r="A49" s="1">
        <v>14026</v>
      </c>
      <c r="B49" s="2">
        <v>1240686</v>
      </c>
      <c r="C49" s="2"/>
      <c r="D49" s="2">
        <v>1041314</v>
      </c>
      <c r="E49" s="2">
        <v>199372</v>
      </c>
      <c r="F49" s="2"/>
      <c r="G49" s="2"/>
      <c r="H49" s="2"/>
      <c r="I49" s="2">
        <f t="shared" si="1"/>
        <v>1240686</v>
      </c>
      <c r="J49" s="2">
        <f t="shared" si="0"/>
        <v>1240686</v>
      </c>
      <c r="K49" s="2"/>
    </row>
    <row r="50" spans="1:11" x14ac:dyDescent="0.3">
      <c r="A50" s="1">
        <v>15056</v>
      </c>
      <c r="B50" s="2">
        <v>732723</v>
      </c>
      <c r="C50" s="2"/>
      <c r="D50" s="2">
        <v>237261</v>
      </c>
      <c r="E50" s="2">
        <v>218031</v>
      </c>
      <c r="F50" s="2"/>
      <c r="G50" s="2">
        <v>277431</v>
      </c>
      <c r="H50" s="2"/>
      <c r="I50" s="2">
        <f t="shared" si="1"/>
        <v>732723</v>
      </c>
      <c r="J50" s="2">
        <f t="shared" si="0"/>
        <v>732723</v>
      </c>
      <c r="K50" s="2"/>
    </row>
    <row r="51" spans="1:11" x14ac:dyDescent="0.3">
      <c r="A51" s="1">
        <v>14228</v>
      </c>
      <c r="B51" s="2">
        <v>701808</v>
      </c>
      <c r="C51" s="2">
        <v>1162925</v>
      </c>
      <c r="D51" s="2">
        <v>421113</v>
      </c>
      <c r="E51" s="2">
        <v>-500000</v>
      </c>
      <c r="F51" s="2">
        <v>-290000</v>
      </c>
      <c r="G51" s="2">
        <v>-92230</v>
      </c>
      <c r="H51" s="2"/>
      <c r="I51" s="2">
        <f t="shared" si="1"/>
        <v>-461117</v>
      </c>
      <c r="J51" s="2">
        <f t="shared" si="0"/>
        <v>701808</v>
      </c>
      <c r="K51" s="2"/>
    </row>
    <row r="52" spans="1:11" x14ac:dyDescent="0.3">
      <c r="A52" s="1">
        <v>15167</v>
      </c>
      <c r="B52" s="2">
        <v>174000</v>
      </c>
      <c r="C52" s="2"/>
      <c r="D52" s="2"/>
      <c r="E52" s="2">
        <v>174000</v>
      </c>
      <c r="F52" s="2"/>
      <c r="G52" s="2"/>
      <c r="H52" s="2"/>
      <c r="I52" s="2">
        <f t="shared" si="1"/>
        <v>174000</v>
      </c>
      <c r="J52" s="2">
        <f t="shared" si="0"/>
        <v>174000</v>
      </c>
      <c r="K52" s="2"/>
    </row>
    <row r="53" spans="1:11" x14ac:dyDescent="0.3">
      <c r="A53" s="1">
        <v>10166</v>
      </c>
      <c r="B53" s="2">
        <v>131355</v>
      </c>
      <c r="C53" s="2"/>
      <c r="D53" s="2"/>
      <c r="E53" s="2"/>
      <c r="F53" s="2"/>
      <c r="G53" s="2">
        <v>-55822</v>
      </c>
      <c r="H53" s="2">
        <v>187177</v>
      </c>
      <c r="I53" s="2">
        <f t="shared" si="1"/>
        <v>131355</v>
      </c>
      <c r="J53" s="2">
        <f t="shared" si="0"/>
        <v>131355</v>
      </c>
      <c r="K53" s="2"/>
    </row>
    <row r="54" spans="1:11" x14ac:dyDescent="0.3">
      <c r="A54" s="1">
        <v>13991</v>
      </c>
      <c r="B54" s="2">
        <v>92614</v>
      </c>
      <c r="C54" s="2"/>
      <c r="D54" s="2"/>
      <c r="E54" s="2"/>
      <c r="F54" s="2"/>
      <c r="G54" s="2"/>
      <c r="H54" s="2">
        <v>92614</v>
      </c>
      <c r="I54" s="2">
        <f t="shared" si="1"/>
        <v>92614</v>
      </c>
      <c r="J54" s="2">
        <f t="shared" si="0"/>
        <v>92614</v>
      </c>
      <c r="K54" s="2"/>
    </row>
    <row r="55" spans="1:11" x14ac:dyDescent="0.3">
      <c r="A55" s="1">
        <v>15103</v>
      </c>
      <c r="B55" s="2">
        <v>50593</v>
      </c>
      <c r="C55" s="2"/>
      <c r="D55" s="2"/>
      <c r="E55" s="2"/>
      <c r="F55" s="2"/>
      <c r="G55" s="2">
        <v>50593</v>
      </c>
      <c r="H55" s="2"/>
      <c r="I55" s="2">
        <f t="shared" si="1"/>
        <v>50593</v>
      </c>
      <c r="J55" s="2">
        <f t="shared" si="0"/>
        <v>50593</v>
      </c>
      <c r="K55" s="2"/>
    </row>
    <row r="56" spans="1:11" x14ac:dyDescent="0.3">
      <c r="A56" s="1">
        <v>14882</v>
      </c>
      <c r="B56" s="2">
        <v>27409</v>
      </c>
      <c r="C56" s="2"/>
      <c r="D56" s="2">
        <v>27409</v>
      </c>
      <c r="E56" s="2"/>
      <c r="F56" s="2"/>
      <c r="G56" s="2"/>
      <c r="H56" s="2"/>
      <c r="I56" s="2">
        <f t="shared" si="1"/>
        <v>27409</v>
      </c>
      <c r="J56" s="2">
        <f t="shared" si="0"/>
        <v>27409</v>
      </c>
      <c r="K56" s="2"/>
    </row>
    <row r="57" spans="1:11" x14ac:dyDescent="0.3">
      <c r="A57" s="1">
        <v>50000</v>
      </c>
      <c r="B57" s="2">
        <v>9971</v>
      </c>
      <c r="C57" s="2"/>
      <c r="D57" s="2">
        <v>-176663</v>
      </c>
      <c r="E57" s="2"/>
      <c r="F57" s="2"/>
      <c r="G57" s="2">
        <v>36634</v>
      </c>
      <c r="H57" s="2">
        <v>150000</v>
      </c>
      <c r="I57" s="2">
        <f t="shared" si="1"/>
        <v>9971</v>
      </c>
      <c r="J57" s="2">
        <f t="shared" si="0"/>
        <v>9971</v>
      </c>
      <c r="K57" s="2"/>
    </row>
    <row r="58" spans="1:11" x14ac:dyDescent="0.3">
      <c r="A58" s="1">
        <v>15055</v>
      </c>
      <c r="B58" s="2">
        <v>300</v>
      </c>
      <c r="C58" s="2"/>
      <c r="D58" s="2"/>
      <c r="E58" s="2"/>
      <c r="F58" s="2"/>
      <c r="G58" s="2">
        <v>300</v>
      </c>
      <c r="H58" s="2"/>
      <c r="I58" s="2">
        <f t="shared" si="1"/>
        <v>300</v>
      </c>
      <c r="J58" s="2">
        <f t="shared" si="0"/>
        <v>300</v>
      </c>
      <c r="K58" s="2"/>
    </row>
    <row r="59" spans="1:11" x14ac:dyDescent="0.3">
      <c r="A59" s="1">
        <v>15160</v>
      </c>
      <c r="B59" s="2">
        <v>100</v>
      </c>
      <c r="C59" s="2"/>
      <c r="D59" s="2">
        <v>100</v>
      </c>
      <c r="E59" s="2"/>
      <c r="F59" s="2"/>
      <c r="G59" s="2"/>
      <c r="H59" s="2"/>
      <c r="I59" s="2">
        <f t="shared" si="1"/>
        <v>100</v>
      </c>
      <c r="J59" s="2">
        <f t="shared" si="0"/>
        <v>100</v>
      </c>
      <c r="K59" s="2"/>
    </row>
    <row r="60" spans="1:11" x14ac:dyDescent="0.3">
      <c r="A60" s="1">
        <v>14874</v>
      </c>
      <c r="B60" s="2">
        <v>26400665.84</v>
      </c>
      <c r="C60" s="2">
        <v>19072116</v>
      </c>
      <c r="D60" s="2">
        <v>3862720</v>
      </c>
      <c r="E60" s="2"/>
      <c r="F60" s="2"/>
      <c r="G60" s="2">
        <v>-179258.8</v>
      </c>
      <c r="H60" s="2">
        <v>3645088.6400000006</v>
      </c>
      <c r="I60" s="2">
        <f t="shared" ref="I60:I114" si="2">H60+G60+F60+E60+D60</f>
        <v>7328549.8400000008</v>
      </c>
      <c r="J60" s="2">
        <f t="shared" si="0"/>
        <v>26400665.84</v>
      </c>
      <c r="K60" s="2"/>
    </row>
    <row r="61" spans="1:11" x14ac:dyDescent="0.3">
      <c r="A61" s="1">
        <v>10497</v>
      </c>
      <c r="B61" s="2">
        <v>11714450</v>
      </c>
      <c r="C61" s="2"/>
      <c r="D61" s="2"/>
      <c r="E61" s="2"/>
      <c r="F61" s="2"/>
      <c r="G61" s="2">
        <v>11496547</v>
      </c>
      <c r="H61" s="2">
        <v>217903</v>
      </c>
      <c r="I61" s="2">
        <f t="shared" si="2"/>
        <v>11714450</v>
      </c>
      <c r="J61" s="2">
        <f t="shared" si="0"/>
        <v>11714450</v>
      </c>
      <c r="K61" s="2"/>
    </row>
    <row r="62" spans="1:11" x14ac:dyDescent="0.3">
      <c r="A62" s="1">
        <v>15037</v>
      </c>
      <c r="B62" s="2">
        <v>10369601</v>
      </c>
      <c r="C62" s="2"/>
      <c r="D62" s="2"/>
      <c r="E62" s="2"/>
      <c r="F62" s="2"/>
      <c r="G62" s="2">
        <v>10369601</v>
      </c>
      <c r="H62" s="2"/>
      <c r="I62" s="2">
        <f t="shared" si="2"/>
        <v>10369601</v>
      </c>
      <c r="J62" s="2">
        <f t="shared" si="0"/>
        <v>10369601</v>
      </c>
      <c r="K62" s="2"/>
    </row>
    <row r="63" spans="1:11" x14ac:dyDescent="0.3">
      <c r="A63" s="1">
        <v>14425</v>
      </c>
      <c r="B63" s="2">
        <v>23400</v>
      </c>
      <c r="C63" s="2"/>
      <c r="D63" s="2"/>
      <c r="E63" s="2"/>
      <c r="F63" s="2"/>
      <c r="G63" s="2"/>
      <c r="H63" s="2">
        <v>23400</v>
      </c>
      <c r="I63" s="2">
        <f t="shared" si="2"/>
        <v>23400</v>
      </c>
      <c r="J63" s="2">
        <f t="shared" si="0"/>
        <v>23400</v>
      </c>
      <c r="K63" s="2"/>
    </row>
    <row r="64" spans="1:11" x14ac:dyDescent="0.3">
      <c r="A64" s="1">
        <v>11921</v>
      </c>
      <c r="B64" s="2">
        <v>11059333</v>
      </c>
      <c r="C64" s="2"/>
      <c r="D64" s="2"/>
      <c r="E64" s="2"/>
      <c r="F64" s="2"/>
      <c r="G64" s="2">
        <v>10093520</v>
      </c>
      <c r="H64" s="2">
        <v>965813</v>
      </c>
      <c r="I64" s="2">
        <f t="shared" si="2"/>
        <v>11059333</v>
      </c>
      <c r="J64" s="2">
        <f t="shared" si="0"/>
        <v>11059333</v>
      </c>
      <c r="K64" s="2"/>
    </row>
    <row r="65" spans="1:11" x14ac:dyDescent="0.3">
      <c r="A65" s="1">
        <v>13284</v>
      </c>
      <c r="B65" s="2">
        <v>9770388</v>
      </c>
      <c r="C65" s="2">
        <v>24901905</v>
      </c>
      <c r="D65" s="2">
        <v>-12694289</v>
      </c>
      <c r="E65" s="2">
        <v>40552</v>
      </c>
      <c r="F65" s="2"/>
      <c r="G65" s="2"/>
      <c r="H65" s="2">
        <v>-2477780</v>
      </c>
      <c r="I65" s="2">
        <f t="shared" si="2"/>
        <v>-15131517</v>
      </c>
      <c r="J65" s="2">
        <f t="shared" si="0"/>
        <v>9770388</v>
      </c>
      <c r="K65" s="2"/>
    </row>
    <row r="66" spans="1:11" x14ac:dyDescent="0.3">
      <c r="A66" s="1">
        <v>11919</v>
      </c>
      <c r="B66" s="2">
        <v>2322579</v>
      </c>
      <c r="C66" s="2">
        <v>185039</v>
      </c>
      <c r="D66" s="2">
        <v>750455</v>
      </c>
      <c r="E66" s="2">
        <v>1387085</v>
      </c>
      <c r="F66" s="2"/>
      <c r="G66" s="2"/>
      <c r="H66" s="2"/>
      <c r="I66" s="2">
        <f t="shared" si="2"/>
        <v>2137540</v>
      </c>
      <c r="J66" s="2">
        <f t="shared" ref="J66:J129" si="3">B66-K66</f>
        <v>2322579</v>
      </c>
      <c r="K66" s="2"/>
    </row>
    <row r="67" spans="1:11" x14ac:dyDescent="0.3">
      <c r="A67" s="1">
        <v>10138</v>
      </c>
      <c r="B67" s="2">
        <v>45967</v>
      </c>
      <c r="C67" s="2"/>
      <c r="D67" s="2"/>
      <c r="E67" s="2"/>
      <c r="F67" s="2"/>
      <c r="G67" s="2"/>
      <c r="H67" s="2">
        <v>45967</v>
      </c>
      <c r="I67" s="2">
        <f t="shared" si="2"/>
        <v>45967</v>
      </c>
      <c r="J67" s="2">
        <f t="shared" si="3"/>
        <v>45967</v>
      </c>
      <c r="K67" s="2"/>
    </row>
    <row r="68" spans="1:11" x14ac:dyDescent="0.3">
      <c r="A68" s="1">
        <v>13193</v>
      </c>
      <c r="B68" s="2">
        <v>43186.8</v>
      </c>
      <c r="C68" s="2"/>
      <c r="D68" s="2"/>
      <c r="E68" s="2"/>
      <c r="F68" s="2"/>
      <c r="G68" s="2">
        <v>-25439.95</v>
      </c>
      <c r="H68" s="2">
        <v>68626.75</v>
      </c>
      <c r="I68" s="2">
        <f t="shared" si="2"/>
        <v>43186.8</v>
      </c>
      <c r="J68" s="2">
        <f t="shared" si="3"/>
        <v>43186.8</v>
      </c>
      <c r="K68" s="2"/>
    </row>
    <row r="69" spans="1:11" x14ac:dyDescent="0.3">
      <c r="A69" s="1">
        <v>12892</v>
      </c>
      <c r="B69" s="2">
        <v>6145309</v>
      </c>
      <c r="C69" s="2"/>
      <c r="D69" s="2"/>
      <c r="E69" s="2"/>
      <c r="F69" s="2"/>
      <c r="G69" s="2">
        <v>-11027</v>
      </c>
      <c r="H69" s="2">
        <v>6156336</v>
      </c>
      <c r="I69" s="2">
        <f t="shared" si="2"/>
        <v>6145309</v>
      </c>
      <c r="J69" s="2">
        <f t="shared" si="3"/>
        <v>6145309</v>
      </c>
      <c r="K69" s="2"/>
    </row>
    <row r="70" spans="1:11" x14ac:dyDescent="0.3">
      <c r="A70" s="1">
        <v>10351</v>
      </c>
      <c r="B70" s="2">
        <v>3913058</v>
      </c>
      <c r="C70" s="2"/>
      <c r="D70" s="2">
        <v>145781</v>
      </c>
      <c r="E70" s="2">
        <v>145784</v>
      </c>
      <c r="F70" s="2"/>
      <c r="G70" s="2"/>
      <c r="H70" s="2">
        <v>3621493</v>
      </c>
      <c r="I70" s="2">
        <f t="shared" si="2"/>
        <v>3913058</v>
      </c>
      <c r="J70" s="2">
        <f t="shared" si="3"/>
        <v>3913058</v>
      </c>
      <c r="K70" s="2"/>
    </row>
    <row r="71" spans="1:11" x14ac:dyDescent="0.3">
      <c r="A71" s="1">
        <v>10149</v>
      </c>
      <c r="B71" s="2">
        <v>2966080</v>
      </c>
      <c r="C71" s="2">
        <v>2040886</v>
      </c>
      <c r="D71" s="2"/>
      <c r="E71" s="2"/>
      <c r="F71" s="2"/>
      <c r="G71" s="2">
        <v>21683</v>
      </c>
      <c r="H71" s="2">
        <v>903510</v>
      </c>
      <c r="I71" s="2">
        <f t="shared" si="2"/>
        <v>925193</v>
      </c>
      <c r="J71" s="2">
        <f t="shared" si="3"/>
        <v>2966080</v>
      </c>
      <c r="K71" s="2"/>
    </row>
    <row r="72" spans="1:11" x14ac:dyDescent="0.3">
      <c r="A72" s="1">
        <v>10348</v>
      </c>
      <c r="B72" s="2">
        <v>1591188</v>
      </c>
      <c r="C72" s="2">
        <v>728904</v>
      </c>
      <c r="D72" s="2"/>
      <c r="E72" s="2">
        <v>1093380</v>
      </c>
      <c r="F72" s="2">
        <v>-218686</v>
      </c>
      <c r="G72" s="2">
        <v>-12410</v>
      </c>
      <c r="H72" s="2"/>
      <c r="I72" s="2">
        <f t="shared" si="2"/>
        <v>862284</v>
      </c>
      <c r="J72" s="2">
        <f t="shared" si="3"/>
        <v>1591188</v>
      </c>
      <c r="K72" s="2"/>
    </row>
    <row r="73" spans="1:11" x14ac:dyDescent="0.3">
      <c r="A73" s="1">
        <v>14118</v>
      </c>
      <c r="B73" s="2">
        <v>347280</v>
      </c>
      <c r="C73" s="2"/>
      <c r="D73" s="2"/>
      <c r="E73" s="2"/>
      <c r="F73" s="2"/>
      <c r="G73" s="2"/>
      <c r="H73" s="2">
        <v>347280</v>
      </c>
      <c r="I73" s="2">
        <f t="shared" si="2"/>
        <v>347280</v>
      </c>
      <c r="J73" s="2">
        <f t="shared" si="3"/>
        <v>347280</v>
      </c>
      <c r="K73" s="2"/>
    </row>
    <row r="74" spans="1:11" x14ac:dyDescent="0.3">
      <c r="A74" s="1">
        <v>10036</v>
      </c>
      <c r="B74" s="2">
        <v>79785</v>
      </c>
      <c r="C74" s="2">
        <v>437342</v>
      </c>
      <c r="D74" s="2"/>
      <c r="E74" s="2"/>
      <c r="F74" s="2"/>
      <c r="G74" s="2">
        <v>-37681</v>
      </c>
      <c r="H74" s="2">
        <v>-319877</v>
      </c>
      <c r="I74" s="2">
        <f t="shared" si="2"/>
        <v>-357558</v>
      </c>
      <c r="J74" s="2">
        <f t="shared" si="3"/>
        <v>79785</v>
      </c>
      <c r="K74" s="2"/>
    </row>
    <row r="75" spans="1:11" x14ac:dyDescent="0.3">
      <c r="A75" s="1">
        <v>12088</v>
      </c>
      <c r="B75" s="2">
        <v>29501</v>
      </c>
      <c r="C75" s="2"/>
      <c r="D75" s="2">
        <v>-7000</v>
      </c>
      <c r="E75" s="2">
        <v>-6000</v>
      </c>
      <c r="F75" s="2">
        <v>-10000</v>
      </c>
      <c r="G75" s="2">
        <v>-81000</v>
      </c>
      <c r="H75" s="2">
        <v>133501</v>
      </c>
      <c r="I75" s="2">
        <f t="shared" si="2"/>
        <v>29501</v>
      </c>
      <c r="J75" s="2">
        <f t="shared" si="3"/>
        <v>29501</v>
      </c>
      <c r="K75" s="2"/>
    </row>
    <row r="76" spans="1:11" x14ac:dyDescent="0.3">
      <c r="A76" s="1">
        <v>13990</v>
      </c>
      <c r="B76" s="2">
        <v>6342</v>
      </c>
      <c r="C76" s="2"/>
      <c r="D76" s="2"/>
      <c r="E76" s="2"/>
      <c r="F76" s="2"/>
      <c r="G76" s="2"/>
      <c r="H76" s="2">
        <v>6342</v>
      </c>
      <c r="I76" s="2">
        <f t="shared" si="2"/>
        <v>6342</v>
      </c>
      <c r="J76" s="2">
        <f t="shared" si="3"/>
        <v>6342</v>
      </c>
      <c r="K76" s="2"/>
    </row>
    <row r="77" spans="1:11" x14ac:dyDescent="0.3">
      <c r="A77" s="1">
        <v>14731</v>
      </c>
      <c r="B77" s="2">
        <v>8460159</v>
      </c>
      <c r="C77" s="2"/>
      <c r="D77" s="2"/>
      <c r="E77" s="2"/>
      <c r="F77" s="2"/>
      <c r="G77" s="2">
        <v>-361281</v>
      </c>
      <c r="H77" s="2">
        <v>8821439</v>
      </c>
      <c r="I77" s="2">
        <f t="shared" si="2"/>
        <v>8460158</v>
      </c>
      <c r="J77" s="2">
        <f t="shared" si="3"/>
        <v>8460159</v>
      </c>
      <c r="K77" s="2"/>
    </row>
    <row r="78" spans="1:11" x14ac:dyDescent="0.3">
      <c r="A78" s="1">
        <v>14963</v>
      </c>
      <c r="B78" s="2">
        <v>4708241</v>
      </c>
      <c r="C78" s="2"/>
      <c r="D78" s="2">
        <v>4708241</v>
      </c>
      <c r="E78" s="2"/>
      <c r="F78" s="2"/>
      <c r="G78" s="2"/>
      <c r="H78" s="2"/>
      <c r="I78" s="2">
        <f t="shared" si="2"/>
        <v>4708241</v>
      </c>
      <c r="J78" s="2">
        <f t="shared" si="3"/>
        <v>4708241</v>
      </c>
      <c r="K78" s="2"/>
    </row>
    <row r="79" spans="1:11" x14ac:dyDescent="0.3">
      <c r="A79" s="1">
        <v>12576</v>
      </c>
      <c r="B79" s="2">
        <v>1839223</v>
      </c>
      <c r="C79" s="2"/>
      <c r="D79" s="2"/>
      <c r="E79" s="2">
        <v>1840240</v>
      </c>
      <c r="F79" s="2"/>
      <c r="G79" s="2">
        <v>-1017</v>
      </c>
      <c r="H79" s="2"/>
      <c r="I79" s="2">
        <f t="shared" si="2"/>
        <v>1839223</v>
      </c>
      <c r="J79" s="2">
        <f t="shared" si="3"/>
        <v>1839223</v>
      </c>
      <c r="K79" s="2"/>
    </row>
    <row r="80" spans="1:11" x14ac:dyDescent="0.3">
      <c r="A80" s="1">
        <v>10344</v>
      </c>
      <c r="B80" s="2">
        <v>1134350</v>
      </c>
      <c r="C80" s="2"/>
      <c r="D80" s="2">
        <v>1130244</v>
      </c>
      <c r="E80" s="2">
        <v>30923</v>
      </c>
      <c r="F80" s="2"/>
      <c r="G80" s="2"/>
      <c r="H80" s="2">
        <v>-26817</v>
      </c>
      <c r="I80" s="2">
        <f t="shared" si="2"/>
        <v>1134350</v>
      </c>
      <c r="J80" s="2">
        <f t="shared" si="3"/>
        <v>1134350</v>
      </c>
      <c r="K80" s="2"/>
    </row>
    <row r="81" spans="1:11" x14ac:dyDescent="0.3">
      <c r="A81" s="1">
        <v>12045</v>
      </c>
      <c r="B81" s="2">
        <v>45372</v>
      </c>
      <c r="C81" s="2"/>
      <c r="D81" s="2">
        <v>45500</v>
      </c>
      <c r="E81" s="2"/>
      <c r="F81" s="2"/>
      <c r="G81" s="2"/>
      <c r="H81" s="2">
        <v>-128</v>
      </c>
      <c r="I81" s="2">
        <f t="shared" si="2"/>
        <v>45372</v>
      </c>
      <c r="J81" s="2">
        <f t="shared" si="3"/>
        <v>45372</v>
      </c>
      <c r="K81" s="2"/>
    </row>
    <row r="82" spans="1:11" x14ac:dyDescent="0.3">
      <c r="A82" s="1">
        <v>14843</v>
      </c>
      <c r="B82" s="2">
        <v>183954</v>
      </c>
      <c r="C82" s="2"/>
      <c r="D82" s="2">
        <v>8014</v>
      </c>
      <c r="E82" s="2"/>
      <c r="F82" s="2"/>
      <c r="G82" s="2"/>
      <c r="H82" s="2">
        <v>175940</v>
      </c>
      <c r="I82" s="2">
        <f t="shared" si="2"/>
        <v>183954</v>
      </c>
      <c r="J82" s="2">
        <f t="shared" si="3"/>
        <v>183954</v>
      </c>
      <c r="K82" s="2"/>
    </row>
    <row r="83" spans="1:11" x14ac:dyDescent="0.3">
      <c r="A83" s="1">
        <v>14785</v>
      </c>
      <c r="B83" s="2">
        <v>21720</v>
      </c>
      <c r="C83" s="2"/>
      <c r="D83" s="2"/>
      <c r="E83" s="2">
        <v>21720</v>
      </c>
      <c r="F83" s="2"/>
      <c r="G83" s="2"/>
      <c r="H83" s="2"/>
      <c r="I83" s="2">
        <f t="shared" si="2"/>
        <v>21720</v>
      </c>
      <c r="J83" s="2">
        <f t="shared" si="3"/>
        <v>21720</v>
      </c>
      <c r="K83" s="2"/>
    </row>
    <row r="84" spans="1:11" x14ac:dyDescent="0.3">
      <c r="A84" s="1">
        <v>14413</v>
      </c>
      <c r="B84" s="2">
        <v>164858773</v>
      </c>
      <c r="C84" s="2"/>
      <c r="D84" s="2">
        <v>32113590</v>
      </c>
      <c r="E84" s="2">
        <v>25359310</v>
      </c>
      <c r="F84" s="2">
        <v>27159245</v>
      </c>
      <c r="G84" s="2">
        <v>80226628</v>
      </c>
      <c r="H84" s="2"/>
      <c r="I84" s="2">
        <f t="shared" si="2"/>
        <v>164858773</v>
      </c>
      <c r="J84" s="2">
        <f t="shared" si="3"/>
        <v>164858773</v>
      </c>
      <c r="K84" s="2"/>
    </row>
    <row r="85" spans="1:11" x14ac:dyDescent="0.3">
      <c r="A85" s="1">
        <v>20799</v>
      </c>
      <c r="B85" s="2">
        <v>31841647</v>
      </c>
      <c r="C85" s="2"/>
      <c r="D85" s="2">
        <v>1361709</v>
      </c>
      <c r="E85" s="2">
        <v>5547611</v>
      </c>
      <c r="F85" s="2">
        <v>7947036</v>
      </c>
      <c r="G85" s="2">
        <v>16985291</v>
      </c>
      <c r="H85" s="2"/>
      <c r="I85" s="2">
        <f t="shared" si="2"/>
        <v>31841647</v>
      </c>
      <c r="J85" s="2">
        <f t="shared" si="3"/>
        <v>31841647</v>
      </c>
      <c r="K85" s="2"/>
    </row>
    <row r="86" spans="1:11" x14ac:dyDescent="0.3">
      <c r="A86" s="1">
        <v>11975</v>
      </c>
      <c r="B86" s="2">
        <v>20460510</v>
      </c>
      <c r="C86" s="2">
        <v>7315762</v>
      </c>
      <c r="D86" s="2">
        <v>12980234</v>
      </c>
      <c r="E86" s="2"/>
      <c r="F86" s="2"/>
      <c r="G86" s="2"/>
      <c r="H86" s="2">
        <v>164514</v>
      </c>
      <c r="I86" s="2">
        <f t="shared" si="2"/>
        <v>13144748</v>
      </c>
      <c r="J86" s="2">
        <f t="shared" si="3"/>
        <v>20460510</v>
      </c>
      <c r="K86" s="2"/>
    </row>
    <row r="87" spans="1:11" x14ac:dyDescent="0.3">
      <c r="A87" s="1">
        <v>10735</v>
      </c>
      <c r="B87" s="2">
        <v>18286789</v>
      </c>
      <c r="C87" s="2">
        <v>696814</v>
      </c>
      <c r="D87" s="2">
        <v>16824251</v>
      </c>
      <c r="E87" s="2">
        <v>715594</v>
      </c>
      <c r="F87" s="2"/>
      <c r="G87" s="2">
        <v>381645</v>
      </c>
      <c r="H87" s="2">
        <v>-331515</v>
      </c>
      <c r="I87" s="2">
        <f t="shared" si="2"/>
        <v>17589975</v>
      </c>
      <c r="J87" s="2">
        <f t="shared" si="3"/>
        <v>18286789</v>
      </c>
      <c r="K87" s="2"/>
    </row>
    <row r="88" spans="1:11" x14ac:dyDescent="0.3">
      <c r="A88" s="1">
        <v>11114</v>
      </c>
      <c r="B88" s="2">
        <v>12223853</v>
      </c>
      <c r="C88" s="2">
        <v>1625293</v>
      </c>
      <c r="D88" s="2">
        <v>2494495</v>
      </c>
      <c r="E88" s="2">
        <v>-432755</v>
      </c>
      <c r="F88" s="2">
        <v>363025</v>
      </c>
      <c r="G88" s="2">
        <v>1765820</v>
      </c>
      <c r="H88" s="2">
        <v>6407976</v>
      </c>
      <c r="I88" s="2">
        <f t="shared" si="2"/>
        <v>10598561</v>
      </c>
      <c r="J88" s="2">
        <f t="shared" si="3"/>
        <v>12223853</v>
      </c>
      <c r="K88" s="2"/>
    </row>
    <row r="89" spans="1:11" x14ac:dyDescent="0.3">
      <c r="A89" s="1">
        <v>13084</v>
      </c>
      <c r="B89" s="2">
        <v>6354543</v>
      </c>
      <c r="C89" s="2">
        <v>3336318</v>
      </c>
      <c r="D89" s="2">
        <v>3589144</v>
      </c>
      <c r="E89" s="2">
        <v>-569357</v>
      </c>
      <c r="F89" s="2"/>
      <c r="G89" s="2">
        <v>-1561</v>
      </c>
      <c r="H89" s="2"/>
      <c r="I89" s="2">
        <f t="shared" si="2"/>
        <v>3018226</v>
      </c>
      <c r="J89" s="2">
        <f t="shared" si="3"/>
        <v>6354543</v>
      </c>
      <c r="K89" s="2"/>
    </row>
    <row r="90" spans="1:11" x14ac:dyDescent="0.3">
      <c r="A90" s="1">
        <v>20809</v>
      </c>
      <c r="B90" s="2">
        <v>6198356</v>
      </c>
      <c r="C90" s="2">
        <v>170314</v>
      </c>
      <c r="D90" s="2">
        <v>-2618611</v>
      </c>
      <c r="E90" s="2">
        <v>2776448</v>
      </c>
      <c r="F90" s="2">
        <v>4821838</v>
      </c>
      <c r="G90" s="2">
        <v>1048367</v>
      </c>
      <c r="H90" s="2"/>
      <c r="I90" s="2">
        <f t="shared" si="2"/>
        <v>6028042</v>
      </c>
      <c r="J90" s="2">
        <f t="shared" si="3"/>
        <v>6198356</v>
      </c>
      <c r="K90" s="2"/>
    </row>
    <row r="91" spans="1:11" x14ac:dyDescent="0.3">
      <c r="A91" s="1">
        <v>13181</v>
      </c>
      <c r="B91" s="2">
        <v>3381474</v>
      </c>
      <c r="C91" s="2"/>
      <c r="D91" s="2">
        <v>3381474</v>
      </c>
      <c r="E91" s="2"/>
      <c r="F91" s="2"/>
      <c r="G91" s="2"/>
      <c r="H91" s="2"/>
      <c r="I91" s="2">
        <f t="shared" si="2"/>
        <v>3381474</v>
      </c>
      <c r="J91" s="2">
        <f t="shared" si="3"/>
        <v>3381474</v>
      </c>
      <c r="K91" s="2"/>
    </row>
    <row r="92" spans="1:11" x14ac:dyDescent="0.3">
      <c r="A92" s="1">
        <v>14206</v>
      </c>
      <c r="B92" s="2">
        <v>3354918</v>
      </c>
      <c r="C92" s="2">
        <v>1341</v>
      </c>
      <c r="D92" s="2">
        <v>318629</v>
      </c>
      <c r="E92" s="2">
        <v>1018484</v>
      </c>
      <c r="F92" s="2">
        <v>1844647</v>
      </c>
      <c r="G92" s="2">
        <v>171818</v>
      </c>
      <c r="H92" s="2"/>
      <c r="I92" s="2">
        <f t="shared" si="2"/>
        <v>3353578</v>
      </c>
      <c r="J92" s="2">
        <f t="shared" si="3"/>
        <v>3354918</v>
      </c>
      <c r="K92" s="2"/>
    </row>
    <row r="93" spans="1:11" x14ac:dyDescent="0.3">
      <c r="A93" s="1">
        <v>20704</v>
      </c>
      <c r="B93" s="2">
        <v>2903744</v>
      </c>
      <c r="C93" s="2">
        <v>15321</v>
      </c>
      <c r="D93" s="2">
        <v>87323</v>
      </c>
      <c r="E93" s="2"/>
      <c r="F93" s="2"/>
      <c r="G93" s="2">
        <v>918272</v>
      </c>
      <c r="H93" s="2">
        <v>1882828</v>
      </c>
      <c r="I93" s="2">
        <f t="shared" si="2"/>
        <v>2888423</v>
      </c>
      <c r="J93" s="2">
        <f t="shared" si="3"/>
        <v>2903744</v>
      </c>
      <c r="K93" s="2"/>
    </row>
    <row r="94" spans="1:11" x14ac:dyDescent="0.3">
      <c r="A94" s="1">
        <v>10683</v>
      </c>
      <c r="B94" s="2">
        <v>2103589</v>
      </c>
      <c r="C94" s="2">
        <v>81809</v>
      </c>
      <c r="D94" s="2">
        <v>545547</v>
      </c>
      <c r="E94" s="2">
        <v>278824</v>
      </c>
      <c r="F94" s="2">
        <v>103222</v>
      </c>
      <c r="G94" s="2">
        <v>1094187</v>
      </c>
      <c r="H94" s="2"/>
      <c r="I94" s="2">
        <f t="shared" si="2"/>
        <v>2021780</v>
      </c>
      <c r="J94" s="2">
        <f t="shared" si="3"/>
        <v>2103589</v>
      </c>
      <c r="K94" s="2"/>
    </row>
    <row r="95" spans="1:11" x14ac:dyDescent="0.3">
      <c r="A95" s="1">
        <v>20364</v>
      </c>
      <c r="B95" s="2">
        <v>1583562</v>
      </c>
      <c r="C95" s="2"/>
      <c r="D95" s="2">
        <v>1626167</v>
      </c>
      <c r="E95" s="2">
        <v>1044494</v>
      </c>
      <c r="F95" s="2">
        <v>736697</v>
      </c>
      <c r="G95" s="2">
        <v>-1823796</v>
      </c>
      <c r="H95" s="2"/>
      <c r="I95" s="2">
        <f t="shared" si="2"/>
        <v>1583562</v>
      </c>
      <c r="J95" s="2">
        <f t="shared" si="3"/>
        <v>1583562</v>
      </c>
      <c r="K95" s="2"/>
    </row>
    <row r="96" spans="1:11" x14ac:dyDescent="0.3">
      <c r="A96" s="1">
        <v>20042</v>
      </c>
      <c r="B96" s="2">
        <v>1332232</v>
      </c>
      <c r="C96" s="2"/>
      <c r="D96" s="2"/>
      <c r="E96" s="2"/>
      <c r="F96" s="2"/>
      <c r="G96" s="2">
        <v>3093</v>
      </c>
      <c r="H96" s="2">
        <v>1329139</v>
      </c>
      <c r="I96" s="2">
        <f t="shared" si="2"/>
        <v>1332232</v>
      </c>
      <c r="J96" s="2">
        <f t="shared" si="3"/>
        <v>1332232</v>
      </c>
      <c r="K96" s="2"/>
    </row>
    <row r="97" spans="1:11" x14ac:dyDescent="0.3">
      <c r="A97" s="1">
        <v>20804</v>
      </c>
      <c r="B97" s="2">
        <v>1222687</v>
      </c>
      <c r="C97" s="2"/>
      <c r="D97" s="2">
        <v>-6829283</v>
      </c>
      <c r="E97" s="2">
        <v>7072529</v>
      </c>
      <c r="F97" s="2"/>
      <c r="G97" s="2">
        <v>979441</v>
      </c>
      <c r="H97" s="2"/>
      <c r="I97" s="2">
        <f t="shared" si="2"/>
        <v>1222687</v>
      </c>
      <c r="J97" s="2">
        <f t="shared" si="3"/>
        <v>1222687</v>
      </c>
      <c r="K97" s="2"/>
    </row>
    <row r="98" spans="1:11" x14ac:dyDescent="0.3">
      <c r="A98" s="1">
        <v>20736</v>
      </c>
      <c r="B98" s="2">
        <v>1218256</v>
      </c>
      <c r="C98" s="2"/>
      <c r="D98" s="2">
        <v>739616</v>
      </c>
      <c r="E98" s="2">
        <v>140906</v>
      </c>
      <c r="F98" s="2"/>
      <c r="G98" s="2"/>
      <c r="H98" s="2">
        <v>337734</v>
      </c>
      <c r="I98" s="2">
        <f t="shared" si="2"/>
        <v>1218256</v>
      </c>
      <c r="J98" s="2">
        <f t="shared" si="3"/>
        <v>1218256</v>
      </c>
      <c r="K98" s="2"/>
    </row>
    <row r="99" spans="1:11" x14ac:dyDescent="0.3">
      <c r="A99" s="1">
        <v>10274</v>
      </c>
      <c r="B99" s="2">
        <v>621599</v>
      </c>
      <c r="C99" s="2">
        <v>26188</v>
      </c>
      <c r="D99" s="2">
        <v>595411</v>
      </c>
      <c r="E99" s="2"/>
      <c r="F99" s="2"/>
      <c r="G99" s="2"/>
      <c r="H99" s="2"/>
      <c r="I99" s="2">
        <f t="shared" si="2"/>
        <v>595411</v>
      </c>
      <c r="J99" s="2">
        <f t="shared" si="3"/>
        <v>621599</v>
      </c>
      <c r="K99" s="2"/>
    </row>
    <row r="100" spans="1:11" x14ac:dyDescent="0.3">
      <c r="A100" s="1">
        <v>14328</v>
      </c>
      <c r="B100" s="2">
        <v>525395</v>
      </c>
      <c r="C100" s="2"/>
      <c r="D100" s="2">
        <v>-2668018</v>
      </c>
      <c r="E100" s="2">
        <v>-548337</v>
      </c>
      <c r="F100" s="2">
        <v>3362041</v>
      </c>
      <c r="G100" s="2">
        <v>379709</v>
      </c>
      <c r="H100" s="2"/>
      <c r="I100" s="2">
        <f t="shared" si="2"/>
        <v>525395</v>
      </c>
      <c r="J100" s="2">
        <f t="shared" si="3"/>
        <v>525395</v>
      </c>
      <c r="K100" s="2"/>
    </row>
    <row r="101" spans="1:11" x14ac:dyDescent="0.3">
      <c r="A101" s="1">
        <v>14337</v>
      </c>
      <c r="B101" s="2">
        <v>308205</v>
      </c>
      <c r="C101" s="2">
        <v>102724</v>
      </c>
      <c r="D101" s="2">
        <v>111804</v>
      </c>
      <c r="E101" s="2">
        <v>62173</v>
      </c>
      <c r="F101" s="2"/>
      <c r="G101" s="2">
        <v>31503</v>
      </c>
      <c r="H101" s="2"/>
      <c r="I101" s="2">
        <f t="shared" si="2"/>
        <v>205480</v>
      </c>
      <c r="J101" s="2">
        <f t="shared" si="3"/>
        <v>308205</v>
      </c>
      <c r="K101" s="2"/>
    </row>
    <row r="102" spans="1:11" x14ac:dyDescent="0.3">
      <c r="A102" s="1">
        <v>20579</v>
      </c>
      <c r="B102" s="2">
        <v>205952</v>
      </c>
      <c r="C102" s="2"/>
      <c r="D102" s="2">
        <v>8512</v>
      </c>
      <c r="E102" s="2">
        <v>8512</v>
      </c>
      <c r="F102" s="2"/>
      <c r="G102" s="2">
        <v>81741</v>
      </c>
      <c r="H102" s="2">
        <v>107186</v>
      </c>
      <c r="I102" s="2">
        <f t="shared" si="2"/>
        <v>205951</v>
      </c>
      <c r="J102" s="2">
        <f t="shared" si="3"/>
        <v>205952</v>
      </c>
      <c r="K102" s="2"/>
    </row>
    <row r="103" spans="1:11" x14ac:dyDescent="0.3">
      <c r="A103" s="1">
        <v>20723</v>
      </c>
      <c r="B103" s="2">
        <v>63450</v>
      </c>
      <c r="C103" s="2">
        <v>44429</v>
      </c>
      <c r="D103" s="2">
        <v>19021</v>
      </c>
      <c r="E103" s="2"/>
      <c r="F103" s="2"/>
      <c r="G103" s="2"/>
      <c r="H103" s="2"/>
      <c r="I103" s="2">
        <f t="shared" si="2"/>
        <v>19021</v>
      </c>
      <c r="J103" s="2">
        <f t="shared" si="3"/>
        <v>63450</v>
      </c>
      <c r="K103" s="2"/>
    </row>
    <row r="104" spans="1:11" x14ac:dyDescent="0.3">
      <c r="A104" s="1">
        <v>14479</v>
      </c>
      <c r="B104" s="2">
        <v>56768</v>
      </c>
      <c r="C104" s="2">
        <v>56768</v>
      </c>
      <c r="D104" s="2"/>
      <c r="E104" s="2"/>
      <c r="F104" s="2"/>
      <c r="G104" s="2"/>
      <c r="H104" s="2"/>
      <c r="I104" s="2">
        <f t="shared" si="2"/>
        <v>0</v>
      </c>
      <c r="J104" s="2">
        <f t="shared" si="3"/>
        <v>56768</v>
      </c>
      <c r="K104" s="2"/>
    </row>
    <row r="105" spans="1:11" x14ac:dyDescent="0.3">
      <c r="A105" s="1">
        <v>13560</v>
      </c>
      <c r="B105" s="2">
        <v>23097</v>
      </c>
      <c r="C105" s="2"/>
      <c r="D105" s="2"/>
      <c r="E105" s="2"/>
      <c r="F105" s="2"/>
      <c r="G105" s="2"/>
      <c r="H105" s="2">
        <v>23097</v>
      </c>
      <c r="I105" s="2">
        <f t="shared" si="2"/>
        <v>23097</v>
      </c>
      <c r="J105" s="2">
        <f t="shared" si="3"/>
        <v>23097</v>
      </c>
      <c r="K105" s="2"/>
    </row>
    <row r="106" spans="1:11" x14ac:dyDescent="0.3">
      <c r="A106" s="1">
        <v>13904</v>
      </c>
      <c r="B106" s="2">
        <v>20623</v>
      </c>
      <c r="C106" s="2"/>
      <c r="D106" s="2"/>
      <c r="E106" s="2"/>
      <c r="F106" s="2"/>
      <c r="G106" s="2"/>
      <c r="H106" s="2">
        <v>20623</v>
      </c>
      <c r="I106" s="2">
        <f t="shared" si="2"/>
        <v>20623</v>
      </c>
      <c r="J106" s="2">
        <f t="shared" si="3"/>
        <v>20623</v>
      </c>
      <c r="K106" s="2"/>
    </row>
    <row r="107" spans="1:11" x14ac:dyDescent="0.3">
      <c r="A107" s="1">
        <v>14943</v>
      </c>
      <c r="B107" s="2">
        <v>8178</v>
      </c>
      <c r="C107" s="2"/>
      <c r="D107" s="2">
        <v>4089</v>
      </c>
      <c r="E107" s="2"/>
      <c r="F107" s="2">
        <v>4089</v>
      </c>
      <c r="G107" s="2"/>
      <c r="H107" s="2"/>
      <c r="I107" s="2">
        <f t="shared" si="2"/>
        <v>8178</v>
      </c>
      <c r="J107" s="2">
        <f t="shared" si="3"/>
        <v>8178</v>
      </c>
      <c r="K107" s="2"/>
    </row>
    <row r="108" spans="1:11" x14ac:dyDescent="0.3">
      <c r="A108" s="1">
        <v>20784</v>
      </c>
      <c r="B108" s="2">
        <v>1932</v>
      </c>
      <c r="C108" s="2"/>
      <c r="D108" s="2"/>
      <c r="E108" s="2"/>
      <c r="F108" s="2"/>
      <c r="G108" s="2"/>
      <c r="H108" s="2">
        <v>1932</v>
      </c>
      <c r="I108" s="2">
        <f t="shared" si="2"/>
        <v>1932</v>
      </c>
      <c r="J108" s="2">
        <f t="shared" si="3"/>
        <v>1932</v>
      </c>
      <c r="K108" s="2"/>
    </row>
    <row r="109" spans="1:11" x14ac:dyDescent="0.3">
      <c r="A109" s="1">
        <v>10676</v>
      </c>
      <c r="B109" s="2">
        <v>29240777.370000001</v>
      </c>
      <c r="C109" s="2"/>
      <c r="D109" s="2">
        <v>203358</v>
      </c>
      <c r="E109" s="2">
        <v>12038598</v>
      </c>
      <c r="F109" s="2"/>
      <c r="G109" s="2"/>
      <c r="H109" s="2">
        <v>16998821.370000001</v>
      </c>
      <c r="I109" s="2">
        <f t="shared" si="2"/>
        <v>29240777.370000001</v>
      </c>
      <c r="J109" s="2">
        <f t="shared" si="3"/>
        <v>29240777.370000001</v>
      </c>
      <c r="K109" s="2"/>
    </row>
    <row r="110" spans="1:11" x14ac:dyDescent="0.3">
      <c r="A110" s="1">
        <v>20234</v>
      </c>
      <c r="B110" s="2">
        <v>3961784</v>
      </c>
      <c r="C110" s="2">
        <v>814295</v>
      </c>
      <c r="D110" s="2">
        <v>-259050</v>
      </c>
      <c r="E110" s="2">
        <v>347165</v>
      </c>
      <c r="F110" s="2">
        <v>16343</v>
      </c>
      <c r="G110" s="2">
        <v>2872248</v>
      </c>
      <c r="H110" s="2">
        <v>170784</v>
      </c>
      <c r="I110" s="2">
        <f t="shared" si="2"/>
        <v>3147490</v>
      </c>
      <c r="J110" s="2">
        <f t="shared" si="3"/>
        <v>3961784</v>
      </c>
      <c r="K110" s="2"/>
    </row>
    <row r="111" spans="1:11" x14ac:dyDescent="0.3">
      <c r="A111" s="1">
        <v>20107</v>
      </c>
      <c r="B111" s="2">
        <v>2854811</v>
      </c>
      <c r="C111" s="2">
        <v>5586821</v>
      </c>
      <c r="D111" s="2">
        <v>321880</v>
      </c>
      <c r="E111" s="2">
        <v>172633</v>
      </c>
      <c r="F111" s="2">
        <v>4979593</v>
      </c>
      <c r="G111" s="2">
        <v>-2719085</v>
      </c>
      <c r="H111" s="2">
        <v>-5487030</v>
      </c>
      <c r="I111" s="2">
        <f t="shared" si="2"/>
        <v>-2732009</v>
      </c>
      <c r="J111" s="2">
        <f t="shared" si="3"/>
        <v>2854811</v>
      </c>
      <c r="K111" s="2"/>
    </row>
    <row r="112" spans="1:11" x14ac:dyDescent="0.3">
      <c r="A112" s="1">
        <v>14355</v>
      </c>
      <c r="B112" s="2">
        <v>1709939</v>
      </c>
      <c r="C112" s="2"/>
      <c r="D112" s="2">
        <v>511369</v>
      </c>
      <c r="E112" s="2">
        <v>440560</v>
      </c>
      <c r="F112" s="2"/>
      <c r="G112" s="2">
        <v>758010</v>
      </c>
      <c r="H112" s="2"/>
      <c r="I112" s="2">
        <f t="shared" si="2"/>
        <v>1709939</v>
      </c>
      <c r="J112" s="2">
        <f t="shared" si="3"/>
        <v>1709939</v>
      </c>
      <c r="K112" s="2"/>
    </row>
    <row r="113" spans="1:11" x14ac:dyDescent="0.3">
      <c r="A113" s="1">
        <v>20781</v>
      </c>
      <c r="B113" s="2">
        <v>366218</v>
      </c>
      <c r="C113" s="2"/>
      <c r="D113" s="2"/>
      <c r="E113" s="2"/>
      <c r="F113" s="2"/>
      <c r="G113" s="2"/>
      <c r="H113" s="2">
        <v>366218</v>
      </c>
      <c r="I113" s="2">
        <f t="shared" si="2"/>
        <v>366218</v>
      </c>
      <c r="J113" s="2">
        <f t="shared" si="3"/>
        <v>366218</v>
      </c>
      <c r="K113" s="2"/>
    </row>
    <row r="114" spans="1:11" x14ac:dyDescent="0.3">
      <c r="A114" s="1">
        <v>20453</v>
      </c>
      <c r="B114" s="2">
        <v>339477</v>
      </c>
      <c r="C114" s="2"/>
      <c r="D114" s="2"/>
      <c r="E114" s="2"/>
      <c r="F114" s="2"/>
      <c r="G114" s="2"/>
      <c r="H114" s="2">
        <v>339477</v>
      </c>
      <c r="I114" s="2">
        <f t="shared" si="2"/>
        <v>339477</v>
      </c>
      <c r="J114" s="2">
        <f t="shared" si="3"/>
        <v>339477</v>
      </c>
      <c r="K114" s="2"/>
    </row>
    <row r="115" spans="1:11" x14ac:dyDescent="0.3">
      <c r="A115" s="1">
        <v>12665</v>
      </c>
      <c r="B115" s="2">
        <v>185051</v>
      </c>
      <c r="C115" s="2"/>
      <c r="D115" s="2"/>
      <c r="E115" s="2"/>
      <c r="F115" s="2"/>
      <c r="G115" s="2"/>
      <c r="H115" s="2">
        <v>185051</v>
      </c>
      <c r="I115" s="2">
        <f t="shared" ref="I115:I172" si="4">H115+G115+F115+E115+D115</f>
        <v>185051</v>
      </c>
      <c r="J115" s="2">
        <f t="shared" si="3"/>
        <v>185051</v>
      </c>
      <c r="K115" s="2"/>
    </row>
    <row r="116" spans="1:11" x14ac:dyDescent="0.3">
      <c r="A116" s="1">
        <v>20629</v>
      </c>
      <c r="B116" s="2">
        <v>44651486</v>
      </c>
      <c r="C116" s="2">
        <v>24774141</v>
      </c>
      <c r="D116" s="2">
        <v>19877345</v>
      </c>
      <c r="E116" s="2"/>
      <c r="F116" s="2"/>
      <c r="G116" s="2"/>
      <c r="H116" s="2"/>
      <c r="I116" s="2">
        <f t="shared" si="4"/>
        <v>19877345</v>
      </c>
      <c r="J116" s="2">
        <f t="shared" si="3"/>
        <v>44651486</v>
      </c>
      <c r="K116" s="2"/>
    </row>
    <row r="117" spans="1:11" x14ac:dyDescent="0.3">
      <c r="A117" s="1">
        <v>13423</v>
      </c>
      <c r="B117" s="2">
        <v>38802309</v>
      </c>
      <c r="C117" s="2">
        <v>108289</v>
      </c>
      <c r="D117" s="2"/>
      <c r="E117" s="2">
        <v>271100</v>
      </c>
      <c r="F117" s="2">
        <v>472647</v>
      </c>
      <c r="G117" s="2">
        <v>11854750</v>
      </c>
      <c r="H117" s="2">
        <v>26095523</v>
      </c>
      <c r="I117" s="2">
        <f t="shared" si="4"/>
        <v>38694020</v>
      </c>
      <c r="J117" s="2">
        <f t="shared" si="3"/>
        <v>38802309</v>
      </c>
      <c r="K117" s="2"/>
    </row>
    <row r="118" spans="1:11" x14ac:dyDescent="0.3">
      <c r="A118" s="1">
        <v>20643</v>
      </c>
      <c r="B118" s="2">
        <v>11695775</v>
      </c>
      <c r="C118" s="2">
        <v>4794748</v>
      </c>
      <c r="D118" s="2">
        <v>6943545</v>
      </c>
      <c r="E118" s="2">
        <v>-42518</v>
      </c>
      <c r="F118" s="2"/>
      <c r="G118" s="2"/>
      <c r="H118" s="2"/>
      <c r="I118" s="2">
        <f t="shared" si="4"/>
        <v>6901027</v>
      </c>
      <c r="J118" s="2">
        <f t="shared" si="3"/>
        <v>11695775</v>
      </c>
      <c r="K118" s="2"/>
    </row>
    <row r="119" spans="1:11" x14ac:dyDescent="0.3">
      <c r="A119" s="1">
        <v>20494</v>
      </c>
      <c r="B119" s="2">
        <v>5391122</v>
      </c>
      <c r="C119" s="2">
        <v>4640344</v>
      </c>
      <c r="D119" s="2">
        <v>1932993</v>
      </c>
      <c r="E119" s="2">
        <v>401377</v>
      </c>
      <c r="F119" s="2">
        <v>-130110</v>
      </c>
      <c r="G119" s="2">
        <v>127769</v>
      </c>
      <c r="H119" s="2">
        <v>-1581250</v>
      </c>
      <c r="I119" s="2">
        <f t="shared" si="4"/>
        <v>750779</v>
      </c>
      <c r="J119" s="2">
        <f t="shared" si="3"/>
        <v>5391122</v>
      </c>
      <c r="K119" s="2"/>
    </row>
    <row r="120" spans="1:11" x14ac:dyDescent="0.3">
      <c r="A120" s="1">
        <v>20569</v>
      </c>
      <c r="B120" s="2">
        <v>5203342</v>
      </c>
      <c r="C120" s="2"/>
      <c r="D120" s="2"/>
      <c r="E120" s="2">
        <v>37613</v>
      </c>
      <c r="F120" s="2">
        <v>52026</v>
      </c>
      <c r="G120" s="2">
        <v>1270535</v>
      </c>
      <c r="H120" s="2">
        <v>3843168</v>
      </c>
      <c r="I120" s="2">
        <f t="shared" si="4"/>
        <v>5203342</v>
      </c>
      <c r="J120" s="2">
        <f t="shared" si="3"/>
        <v>5203342</v>
      </c>
      <c r="K120" s="2"/>
    </row>
    <row r="121" spans="1:11" x14ac:dyDescent="0.3">
      <c r="A121" s="1">
        <v>20105</v>
      </c>
      <c r="B121" s="2">
        <v>1804466</v>
      </c>
      <c r="C121" s="2">
        <v>1805098</v>
      </c>
      <c r="D121" s="2">
        <v>-633</v>
      </c>
      <c r="E121" s="2"/>
      <c r="F121" s="2"/>
      <c r="G121" s="2"/>
      <c r="H121" s="2"/>
      <c r="I121" s="2">
        <f t="shared" si="4"/>
        <v>-633</v>
      </c>
      <c r="J121" s="2">
        <f t="shared" si="3"/>
        <v>1804466</v>
      </c>
      <c r="K121" s="2"/>
    </row>
    <row r="122" spans="1:11" x14ac:dyDescent="0.3">
      <c r="A122" s="1">
        <v>12691</v>
      </c>
      <c r="B122" s="2">
        <v>1558206</v>
      </c>
      <c r="C122" s="2">
        <v>1558206</v>
      </c>
      <c r="D122" s="2"/>
      <c r="E122" s="2">
        <v>-57722</v>
      </c>
      <c r="F122" s="2">
        <v>57722</v>
      </c>
      <c r="G122" s="2"/>
      <c r="H122" s="2"/>
      <c r="I122" s="2">
        <f t="shared" si="4"/>
        <v>0</v>
      </c>
      <c r="J122" s="2">
        <f t="shared" si="3"/>
        <v>1558206</v>
      </c>
      <c r="K122" s="2"/>
    </row>
    <row r="123" spans="1:11" x14ac:dyDescent="0.3">
      <c r="A123" s="1">
        <v>13476</v>
      </c>
      <c r="B123" s="2">
        <v>1217952</v>
      </c>
      <c r="C123" s="2"/>
      <c r="D123" s="2">
        <v>21698</v>
      </c>
      <c r="E123" s="2">
        <v>12293</v>
      </c>
      <c r="F123" s="2">
        <v>124833</v>
      </c>
      <c r="G123" s="2">
        <v>1059128</v>
      </c>
      <c r="H123" s="2"/>
      <c r="I123" s="2">
        <f t="shared" si="4"/>
        <v>1217952</v>
      </c>
      <c r="J123" s="2">
        <f t="shared" si="3"/>
        <v>1217952</v>
      </c>
      <c r="K123" s="2"/>
    </row>
    <row r="124" spans="1:11" x14ac:dyDescent="0.3">
      <c r="A124" s="1">
        <v>14911</v>
      </c>
      <c r="B124" s="2">
        <v>1019598</v>
      </c>
      <c r="C124" s="2"/>
      <c r="D124" s="2">
        <v>42940</v>
      </c>
      <c r="E124" s="2"/>
      <c r="F124" s="2">
        <v>42097</v>
      </c>
      <c r="G124" s="2">
        <v>-522993</v>
      </c>
      <c r="H124" s="2">
        <v>1457555</v>
      </c>
      <c r="I124" s="2">
        <f t="shared" si="4"/>
        <v>1019599</v>
      </c>
      <c r="J124" s="2">
        <f t="shared" si="3"/>
        <v>1019598</v>
      </c>
      <c r="K124" s="2"/>
    </row>
    <row r="125" spans="1:11" x14ac:dyDescent="0.3">
      <c r="A125" s="1">
        <v>12721</v>
      </c>
      <c r="B125" s="2">
        <v>1017356</v>
      </c>
      <c r="C125" s="2"/>
      <c r="D125" s="2">
        <v>75447</v>
      </c>
      <c r="E125" s="2"/>
      <c r="F125" s="2">
        <v>284349</v>
      </c>
      <c r="G125" s="2">
        <v>485046</v>
      </c>
      <c r="H125" s="2">
        <v>172513</v>
      </c>
      <c r="I125" s="2">
        <f t="shared" si="4"/>
        <v>1017355</v>
      </c>
      <c r="J125" s="2">
        <f t="shared" si="3"/>
        <v>1017356</v>
      </c>
      <c r="K125" s="2"/>
    </row>
    <row r="126" spans="1:11" x14ac:dyDescent="0.3">
      <c r="A126" s="1">
        <v>13619</v>
      </c>
      <c r="B126" s="2">
        <v>774199</v>
      </c>
      <c r="C126" s="2"/>
      <c r="D126" s="2">
        <v>-50000</v>
      </c>
      <c r="E126" s="2"/>
      <c r="F126" s="2"/>
      <c r="G126" s="2">
        <v>-347194</v>
      </c>
      <c r="H126" s="2">
        <v>1171392</v>
      </c>
      <c r="I126" s="2">
        <f t="shared" si="4"/>
        <v>774198</v>
      </c>
      <c r="J126" s="2">
        <f t="shared" si="3"/>
        <v>774199</v>
      </c>
      <c r="K126" s="2"/>
    </row>
    <row r="127" spans="1:11" x14ac:dyDescent="0.3">
      <c r="A127" s="1">
        <v>20544</v>
      </c>
      <c r="B127" s="2">
        <v>301413</v>
      </c>
      <c r="C127" s="2"/>
      <c r="D127" s="2"/>
      <c r="E127" s="2"/>
      <c r="F127" s="2"/>
      <c r="G127" s="2">
        <v>301413</v>
      </c>
      <c r="H127" s="2"/>
      <c r="I127" s="2">
        <f t="shared" si="4"/>
        <v>301413</v>
      </c>
      <c r="J127" s="2">
        <f t="shared" si="3"/>
        <v>301413</v>
      </c>
      <c r="K127" s="2"/>
    </row>
    <row r="128" spans="1:11" x14ac:dyDescent="0.3">
      <c r="A128" s="1">
        <v>20479</v>
      </c>
      <c r="B128" s="2">
        <v>233924</v>
      </c>
      <c r="C128" s="2"/>
      <c r="D128" s="2"/>
      <c r="E128" s="2"/>
      <c r="F128" s="2"/>
      <c r="G128" s="2">
        <v>233924</v>
      </c>
      <c r="H128" s="2"/>
      <c r="I128" s="2">
        <f t="shared" si="4"/>
        <v>233924</v>
      </c>
      <c r="J128" s="2">
        <f t="shared" si="3"/>
        <v>233924</v>
      </c>
      <c r="K128" s="2"/>
    </row>
    <row r="129" spans="1:11" x14ac:dyDescent="0.3">
      <c r="A129" s="1">
        <v>13239</v>
      </c>
      <c r="B129" s="2">
        <v>182886</v>
      </c>
      <c r="C129" s="2"/>
      <c r="D129" s="2">
        <v>75860</v>
      </c>
      <c r="E129" s="2"/>
      <c r="F129" s="2"/>
      <c r="G129" s="2">
        <v>107025</v>
      </c>
      <c r="H129" s="2"/>
      <c r="I129" s="2">
        <f t="shared" si="4"/>
        <v>182885</v>
      </c>
      <c r="J129" s="2">
        <f t="shared" si="3"/>
        <v>182886</v>
      </c>
      <c r="K129" s="2"/>
    </row>
    <row r="130" spans="1:11" x14ac:dyDescent="0.3">
      <c r="A130" s="1">
        <v>13112</v>
      </c>
      <c r="B130" s="2">
        <v>173116</v>
      </c>
      <c r="C130" s="2">
        <v>115400</v>
      </c>
      <c r="D130" s="2">
        <v>57716</v>
      </c>
      <c r="E130" s="2"/>
      <c r="F130" s="2"/>
      <c r="G130" s="2"/>
      <c r="H130" s="2"/>
      <c r="I130" s="2">
        <f t="shared" si="4"/>
        <v>57716</v>
      </c>
      <c r="J130" s="2">
        <f t="shared" ref="J130:J193" si="5">B130-K130</f>
        <v>173116</v>
      </c>
      <c r="K130" s="2"/>
    </row>
    <row r="131" spans="1:11" x14ac:dyDescent="0.3">
      <c r="A131" s="1">
        <v>20797</v>
      </c>
      <c r="B131" s="2">
        <v>115562</v>
      </c>
      <c r="C131" s="2"/>
      <c r="D131" s="2"/>
      <c r="E131" s="2"/>
      <c r="F131" s="2"/>
      <c r="G131" s="2">
        <v>96205</v>
      </c>
      <c r="H131" s="2">
        <v>19358</v>
      </c>
      <c r="I131" s="2">
        <f t="shared" si="4"/>
        <v>115563</v>
      </c>
      <c r="J131" s="2">
        <f t="shared" si="5"/>
        <v>115562</v>
      </c>
      <c r="K131" s="2"/>
    </row>
    <row r="132" spans="1:11" x14ac:dyDescent="0.3">
      <c r="A132" s="1">
        <v>13725</v>
      </c>
      <c r="B132" s="2">
        <v>98629</v>
      </c>
      <c r="C132" s="2"/>
      <c r="D132" s="2">
        <v>98629</v>
      </c>
      <c r="E132" s="2"/>
      <c r="F132" s="2"/>
      <c r="G132" s="2"/>
      <c r="H132" s="2"/>
      <c r="I132" s="2">
        <f t="shared" si="4"/>
        <v>98629</v>
      </c>
      <c r="J132" s="2">
        <f t="shared" si="5"/>
        <v>98629</v>
      </c>
      <c r="K132" s="2"/>
    </row>
    <row r="133" spans="1:11" x14ac:dyDescent="0.3">
      <c r="A133" s="1">
        <v>14951</v>
      </c>
      <c r="B133" s="2">
        <v>30915</v>
      </c>
      <c r="C133" s="2"/>
      <c r="D133" s="2">
        <v>39721</v>
      </c>
      <c r="E133" s="2"/>
      <c r="F133" s="2"/>
      <c r="G133" s="2">
        <v>-8806</v>
      </c>
      <c r="H133" s="2"/>
      <c r="I133" s="2">
        <f t="shared" si="4"/>
        <v>30915</v>
      </c>
      <c r="J133" s="2">
        <f t="shared" si="5"/>
        <v>30915</v>
      </c>
      <c r="K133" s="2"/>
    </row>
    <row r="134" spans="1:11" x14ac:dyDescent="0.3">
      <c r="A134" s="1">
        <v>20574</v>
      </c>
      <c r="B134" s="2">
        <v>5618</v>
      </c>
      <c r="C134" s="2"/>
      <c r="D134" s="2"/>
      <c r="E134" s="2"/>
      <c r="F134" s="2">
        <v>5618</v>
      </c>
      <c r="G134" s="2"/>
      <c r="H134" s="2"/>
      <c r="I134" s="2">
        <f t="shared" si="4"/>
        <v>5618</v>
      </c>
      <c r="J134" s="2">
        <f t="shared" si="5"/>
        <v>5618</v>
      </c>
      <c r="K134" s="2"/>
    </row>
    <row r="135" spans="1:11" x14ac:dyDescent="0.3">
      <c r="A135" s="1">
        <v>20785</v>
      </c>
      <c r="B135" s="2">
        <v>1986</v>
      </c>
      <c r="C135" s="2"/>
      <c r="D135" s="2"/>
      <c r="E135" s="2">
        <v>1986</v>
      </c>
      <c r="F135" s="2"/>
      <c r="G135" s="2"/>
      <c r="H135" s="2"/>
      <c r="I135" s="2">
        <f t="shared" si="4"/>
        <v>1986</v>
      </c>
      <c r="J135" s="2">
        <f t="shared" si="5"/>
        <v>1986</v>
      </c>
      <c r="K135" s="2"/>
    </row>
    <row r="136" spans="1:11" x14ac:dyDescent="0.3">
      <c r="A136" s="1">
        <v>20679</v>
      </c>
      <c r="B136" s="2">
        <v>48687884</v>
      </c>
      <c r="C136" s="2">
        <v>14432637</v>
      </c>
      <c r="D136" s="2">
        <v>16819163</v>
      </c>
      <c r="E136" s="2">
        <v>17436083</v>
      </c>
      <c r="F136" s="2"/>
      <c r="G136" s="2"/>
      <c r="H136" s="2"/>
      <c r="I136" s="2">
        <f t="shared" si="4"/>
        <v>34255246</v>
      </c>
      <c r="J136" s="2">
        <f t="shared" si="5"/>
        <v>48687884</v>
      </c>
      <c r="K136" s="2"/>
    </row>
    <row r="137" spans="1:11" x14ac:dyDescent="0.3">
      <c r="A137" s="1">
        <v>13376</v>
      </c>
      <c r="B137" s="2">
        <v>46164477</v>
      </c>
      <c r="C137" s="2">
        <v>40069056</v>
      </c>
      <c r="D137" s="2">
        <v>6095421</v>
      </c>
      <c r="E137" s="2"/>
      <c r="F137" s="2"/>
      <c r="G137" s="2"/>
      <c r="H137" s="2"/>
      <c r="I137" s="2">
        <f t="shared" si="4"/>
        <v>6095421</v>
      </c>
      <c r="J137" s="2">
        <f t="shared" si="5"/>
        <v>46164477</v>
      </c>
      <c r="K137" s="2"/>
    </row>
    <row r="138" spans="1:11" x14ac:dyDescent="0.3">
      <c r="A138" s="1">
        <v>20796</v>
      </c>
      <c r="B138" s="2">
        <v>6561000</v>
      </c>
      <c r="C138" s="2">
        <v>1188604</v>
      </c>
      <c r="D138" s="2">
        <v>5372397</v>
      </c>
      <c r="E138" s="2"/>
      <c r="F138" s="2"/>
      <c r="G138" s="2"/>
      <c r="H138" s="2"/>
      <c r="I138" s="2">
        <f t="shared" si="4"/>
        <v>5372397</v>
      </c>
      <c r="J138" s="2">
        <f t="shared" si="5"/>
        <v>6561000</v>
      </c>
      <c r="K138" s="2"/>
    </row>
    <row r="139" spans="1:11" x14ac:dyDescent="0.3">
      <c r="A139" s="1">
        <v>14114</v>
      </c>
      <c r="B139" s="2">
        <v>137212</v>
      </c>
      <c r="C139" s="2"/>
      <c r="D139" s="2"/>
      <c r="E139" s="2"/>
      <c r="F139" s="2"/>
      <c r="G139" s="2">
        <v>137212</v>
      </c>
      <c r="H139" s="2"/>
      <c r="I139" s="2">
        <f t="shared" si="4"/>
        <v>137212</v>
      </c>
      <c r="J139" s="2">
        <f t="shared" si="5"/>
        <v>137212</v>
      </c>
      <c r="K139" s="2"/>
    </row>
    <row r="140" spans="1:11" x14ac:dyDescent="0.3">
      <c r="A140" s="1">
        <v>15069</v>
      </c>
      <c r="B140" s="2">
        <v>5409</v>
      </c>
      <c r="C140" s="2"/>
      <c r="D140" s="2"/>
      <c r="E140" s="2"/>
      <c r="F140" s="2"/>
      <c r="G140" s="2">
        <v>5409</v>
      </c>
      <c r="H140" s="2"/>
      <c r="I140" s="2">
        <f t="shared" si="4"/>
        <v>5409</v>
      </c>
      <c r="J140" s="2">
        <f t="shared" si="5"/>
        <v>5409</v>
      </c>
      <c r="K140" s="2"/>
    </row>
    <row r="141" spans="1:11" x14ac:dyDescent="0.3">
      <c r="A141" s="1">
        <v>14779</v>
      </c>
      <c r="B141" s="2">
        <v>10982747</v>
      </c>
      <c r="C141" s="2"/>
      <c r="D141" s="2">
        <v>-79642</v>
      </c>
      <c r="E141" s="2"/>
      <c r="F141" s="2">
        <v>-115574</v>
      </c>
      <c r="G141" s="2">
        <v>-185905</v>
      </c>
      <c r="H141" s="2">
        <v>11363868</v>
      </c>
      <c r="I141" s="2">
        <f t="shared" si="4"/>
        <v>10982747</v>
      </c>
      <c r="J141" s="2">
        <f t="shared" si="5"/>
        <v>10982747</v>
      </c>
      <c r="K141" s="2"/>
    </row>
    <row r="142" spans="1:11" x14ac:dyDescent="0.3">
      <c r="A142" s="1">
        <v>10566</v>
      </c>
      <c r="B142" s="2">
        <v>9454392</v>
      </c>
      <c r="C142" s="2"/>
      <c r="D142" s="2">
        <v>9454392</v>
      </c>
      <c r="E142" s="2"/>
      <c r="F142" s="2"/>
      <c r="G142" s="2"/>
      <c r="H142" s="2"/>
      <c r="I142" s="2">
        <f t="shared" si="4"/>
        <v>9454392</v>
      </c>
      <c r="J142" s="2">
        <f t="shared" si="5"/>
        <v>9454392</v>
      </c>
      <c r="K142" s="2"/>
    </row>
    <row r="143" spans="1:11" x14ac:dyDescent="0.3">
      <c r="A143" s="1">
        <v>14743</v>
      </c>
      <c r="B143" s="2">
        <v>4689366</v>
      </c>
      <c r="C143" s="2">
        <v>712790</v>
      </c>
      <c r="D143" s="2">
        <v>751114</v>
      </c>
      <c r="E143" s="2">
        <v>-275000</v>
      </c>
      <c r="F143" s="2">
        <v>29000</v>
      </c>
      <c r="G143" s="2">
        <v>10781</v>
      </c>
      <c r="H143" s="2">
        <v>3460681</v>
      </c>
      <c r="I143" s="2">
        <f t="shared" si="4"/>
        <v>3976576</v>
      </c>
      <c r="J143" s="2">
        <f t="shared" si="5"/>
        <v>4689366</v>
      </c>
      <c r="K143" s="2"/>
    </row>
    <row r="144" spans="1:11" x14ac:dyDescent="0.3">
      <c r="A144" s="1">
        <v>14863</v>
      </c>
      <c r="B144" s="2">
        <v>2863473</v>
      </c>
      <c r="C144" s="2"/>
      <c r="D144" s="2">
        <v>2863473</v>
      </c>
      <c r="E144" s="2"/>
      <c r="F144" s="2"/>
      <c r="G144" s="2"/>
      <c r="H144" s="2"/>
      <c r="I144" s="2">
        <f t="shared" si="4"/>
        <v>2863473</v>
      </c>
      <c r="J144" s="2">
        <f t="shared" si="5"/>
        <v>2863473</v>
      </c>
      <c r="K144" s="2"/>
    </row>
    <row r="145" spans="1:11" x14ac:dyDescent="0.3">
      <c r="A145" s="1">
        <v>14750</v>
      </c>
      <c r="B145" s="2">
        <v>2169544</v>
      </c>
      <c r="C145" s="2"/>
      <c r="D145" s="2">
        <v>2169544</v>
      </c>
      <c r="E145" s="2"/>
      <c r="F145" s="2"/>
      <c r="G145" s="2"/>
      <c r="H145" s="2"/>
      <c r="I145" s="2">
        <f t="shared" si="4"/>
        <v>2169544</v>
      </c>
      <c r="J145" s="2">
        <f t="shared" si="5"/>
        <v>2169544</v>
      </c>
      <c r="K145" s="2"/>
    </row>
    <row r="146" spans="1:11" x14ac:dyDescent="0.3">
      <c r="A146" s="1">
        <v>14933</v>
      </c>
      <c r="B146" s="2">
        <v>1779007</v>
      </c>
      <c r="C146" s="2"/>
      <c r="D146" s="2">
        <v>-249321</v>
      </c>
      <c r="E146" s="2"/>
      <c r="F146" s="2"/>
      <c r="G146" s="2"/>
      <c r="H146" s="2">
        <v>2028328</v>
      </c>
      <c r="I146" s="2">
        <f t="shared" si="4"/>
        <v>1779007</v>
      </c>
      <c r="J146" s="2">
        <f t="shared" si="5"/>
        <v>1779007</v>
      </c>
      <c r="K146" s="2"/>
    </row>
    <row r="147" spans="1:11" x14ac:dyDescent="0.3">
      <c r="A147" s="1">
        <v>14065</v>
      </c>
      <c r="B147" s="2">
        <v>1730575</v>
      </c>
      <c r="C147" s="2"/>
      <c r="D147" s="2"/>
      <c r="E147" s="2"/>
      <c r="F147" s="2"/>
      <c r="G147" s="2"/>
      <c r="H147" s="2">
        <v>1730575</v>
      </c>
      <c r="I147" s="2">
        <f t="shared" si="4"/>
        <v>1730575</v>
      </c>
      <c r="J147" s="2">
        <f t="shared" si="5"/>
        <v>1730575</v>
      </c>
      <c r="K147" s="2"/>
    </row>
    <row r="148" spans="1:11" x14ac:dyDescent="0.3">
      <c r="A148" s="1">
        <v>10524</v>
      </c>
      <c r="B148" s="2">
        <v>1717175</v>
      </c>
      <c r="C148" s="2">
        <v>-14711</v>
      </c>
      <c r="D148" s="2">
        <v>-294134</v>
      </c>
      <c r="E148" s="2">
        <v>-196223</v>
      </c>
      <c r="F148" s="2">
        <v>-20118</v>
      </c>
      <c r="G148" s="2">
        <v>2242362</v>
      </c>
      <c r="H148" s="2"/>
      <c r="I148" s="2">
        <f t="shared" si="4"/>
        <v>1731887</v>
      </c>
      <c r="J148" s="2">
        <f t="shared" si="5"/>
        <v>1717175</v>
      </c>
      <c r="K148" s="2"/>
    </row>
    <row r="149" spans="1:11" x14ac:dyDescent="0.3">
      <c r="A149" s="1">
        <v>12107</v>
      </c>
      <c r="B149" s="2">
        <v>1692427</v>
      </c>
      <c r="C149" s="2"/>
      <c r="D149" s="2">
        <v>-22890</v>
      </c>
      <c r="E149" s="2"/>
      <c r="F149" s="2">
        <v>25939</v>
      </c>
      <c r="G149" s="2">
        <v>182375</v>
      </c>
      <c r="H149" s="2">
        <v>1507002</v>
      </c>
      <c r="I149" s="2">
        <f t="shared" si="4"/>
        <v>1692426</v>
      </c>
      <c r="J149" s="2">
        <f t="shared" si="5"/>
        <v>1692427</v>
      </c>
      <c r="K149" s="2"/>
    </row>
    <row r="150" spans="1:11" x14ac:dyDescent="0.3">
      <c r="A150" s="1">
        <v>13508</v>
      </c>
      <c r="B150" s="2">
        <v>1656576</v>
      </c>
      <c r="C150" s="2"/>
      <c r="D150" s="2"/>
      <c r="E150" s="2"/>
      <c r="F150" s="2"/>
      <c r="G150" s="2">
        <v>-11273</v>
      </c>
      <c r="H150" s="2">
        <v>1667849</v>
      </c>
      <c r="I150" s="2">
        <f t="shared" si="4"/>
        <v>1656576</v>
      </c>
      <c r="J150" s="2">
        <f t="shared" si="5"/>
        <v>1656576</v>
      </c>
      <c r="K150" s="2"/>
    </row>
    <row r="151" spans="1:11" x14ac:dyDescent="0.3">
      <c r="A151" s="1">
        <v>14744</v>
      </c>
      <c r="B151" s="2">
        <v>913500</v>
      </c>
      <c r="C151" s="2"/>
      <c r="D151" s="2"/>
      <c r="E151" s="2"/>
      <c r="F151" s="2"/>
      <c r="G151" s="2"/>
      <c r="H151" s="2">
        <v>913500</v>
      </c>
      <c r="I151" s="2">
        <f t="shared" si="4"/>
        <v>913500</v>
      </c>
      <c r="J151" s="2">
        <f t="shared" si="5"/>
        <v>913500</v>
      </c>
      <c r="K151" s="2"/>
    </row>
    <row r="152" spans="1:11" x14ac:dyDescent="0.3">
      <c r="A152" s="1">
        <v>13701</v>
      </c>
      <c r="B152" s="2">
        <v>548789</v>
      </c>
      <c r="C152" s="2">
        <v>-3000</v>
      </c>
      <c r="D152" s="2">
        <v>133992</v>
      </c>
      <c r="E152" s="2"/>
      <c r="F152" s="2"/>
      <c r="G152" s="2"/>
      <c r="H152" s="2">
        <v>417797</v>
      </c>
      <c r="I152" s="2">
        <f t="shared" si="4"/>
        <v>551789</v>
      </c>
      <c r="J152" s="2">
        <f t="shared" si="5"/>
        <v>548789</v>
      </c>
      <c r="K152" s="2"/>
    </row>
    <row r="153" spans="1:11" x14ac:dyDescent="0.3">
      <c r="A153" s="1">
        <v>10554</v>
      </c>
      <c r="B153" s="2">
        <v>442884</v>
      </c>
      <c r="C153" s="2">
        <v>113331</v>
      </c>
      <c r="D153" s="2">
        <v>330927</v>
      </c>
      <c r="E153" s="2"/>
      <c r="F153" s="2"/>
      <c r="G153" s="2"/>
      <c r="H153" s="2">
        <v>-1375</v>
      </c>
      <c r="I153" s="2">
        <f t="shared" si="4"/>
        <v>329552</v>
      </c>
      <c r="J153" s="2">
        <f t="shared" si="5"/>
        <v>442884</v>
      </c>
      <c r="K153" s="2"/>
    </row>
    <row r="154" spans="1:11" x14ac:dyDescent="0.3">
      <c r="A154" s="1">
        <v>12124</v>
      </c>
      <c r="B154" s="2">
        <v>232049</v>
      </c>
      <c r="C154" s="2"/>
      <c r="D154" s="2"/>
      <c r="E154" s="2"/>
      <c r="F154" s="2"/>
      <c r="G154" s="2"/>
      <c r="H154" s="2">
        <v>232049</v>
      </c>
      <c r="I154" s="2">
        <f t="shared" si="4"/>
        <v>232049</v>
      </c>
      <c r="J154" s="2">
        <f t="shared" si="5"/>
        <v>232049</v>
      </c>
      <c r="K154" s="2"/>
    </row>
    <row r="155" spans="1:11" x14ac:dyDescent="0.3">
      <c r="A155" s="1">
        <v>14691</v>
      </c>
      <c r="B155" s="2">
        <v>5325921</v>
      </c>
      <c r="C155" s="2"/>
      <c r="D155" s="2">
        <v>-242064</v>
      </c>
      <c r="E155" s="2">
        <v>-192897</v>
      </c>
      <c r="F155" s="2">
        <v>-142776</v>
      </c>
      <c r="G155" s="2">
        <v>3854770</v>
      </c>
      <c r="H155" s="2">
        <v>2048888</v>
      </c>
      <c r="I155" s="2">
        <f t="shared" si="4"/>
        <v>5325921</v>
      </c>
      <c r="J155" s="2">
        <f t="shared" si="5"/>
        <v>5325921</v>
      </c>
      <c r="K155" s="2"/>
    </row>
    <row r="156" spans="1:11" x14ac:dyDescent="0.3">
      <c r="A156" s="1">
        <v>14383</v>
      </c>
      <c r="B156" s="2">
        <v>5277424</v>
      </c>
      <c r="C156" s="2"/>
      <c r="D156" s="2">
        <v>366176</v>
      </c>
      <c r="E156" s="2">
        <v>4911248</v>
      </c>
      <c r="F156" s="2"/>
      <c r="G156" s="2"/>
      <c r="H156" s="2"/>
      <c r="I156" s="2">
        <f t="shared" si="4"/>
        <v>5277424</v>
      </c>
      <c r="J156" s="2">
        <f t="shared" si="5"/>
        <v>5277424</v>
      </c>
      <c r="K156" s="2"/>
    </row>
    <row r="157" spans="1:11" x14ac:dyDescent="0.3">
      <c r="A157" s="1">
        <v>14995</v>
      </c>
      <c r="B157" s="2">
        <v>3451555</v>
      </c>
      <c r="C157" s="2"/>
      <c r="D157" s="2">
        <v>3354190</v>
      </c>
      <c r="E157" s="2">
        <v>-12638</v>
      </c>
      <c r="F157" s="2">
        <v>-41106</v>
      </c>
      <c r="G157" s="2">
        <v>151110</v>
      </c>
      <c r="H157" s="2"/>
      <c r="I157" s="2">
        <f t="shared" si="4"/>
        <v>3451556</v>
      </c>
      <c r="J157" s="2">
        <f t="shared" si="5"/>
        <v>3451555</v>
      </c>
      <c r="K157" s="2"/>
    </row>
    <row r="158" spans="1:11" x14ac:dyDescent="0.3">
      <c r="A158" s="1">
        <v>13288</v>
      </c>
      <c r="B158" s="2">
        <v>3430411</v>
      </c>
      <c r="C158" s="2"/>
      <c r="D158" s="2"/>
      <c r="E158" s="2"/>
      <c r="F158" s="2"/>
      <c r="G158" s="2"/>
      <c r="H158" s="2">
        <v>3430411</v>
      </c>
      <c r="I158" s="2">
        <f t="shared" si="4"/>
        <v>3430411</v>
      </c>
      <c r="J158" s="2">
        <f t="shared" si="5"/>
        <v>3430411</v>
      </c>
      <c r="K158" s="2"/>
    </row>
    <row r="159" spans="1:11" x14ac:dyDescent="0.3">
      <c r="A159" s="1">
        <v>14987</v>
      </c>
      <c r="B159" s="2">
        <v>3381538</v>
      </c>
      <c r="C159" s="2">
        <v>755516</v>
      </c>
      <c r="D159" s="2">
        <v>-831361</v>
      </c>
      <c r="E159" s="2">
        <v>62029</v>
      </c>
      <c r="F159" s="2"/>
      <c r="G159" s="2">
        <v>3407015</v>
      </c>
      <c r="H159" s="2">
        <v>-11661</v>
      </c>
      <c r="I159" s="2">
        <f t="shared" si="4"/>
        <v>2626022</v>
      </c>
      <c r="J159" s="2">
        <f t="shared" si="5"/>
        <v>3381538</v>
      </c>
      <c r="K159" s="2"/>
    </row>
    <row r="160" spans="1:11" x14ac:dyDescent="0.3">
      <c r="A160" s="1">
        <v>13863</v>
      </c>
      <c r="B160" s="2">
        <v>3349599</v>
      </c>
      <c r="C160" s="2">
        <v>-19246</v>
      </c>
      <c r="D160" s="2">
        <v>87472</v>
      </c>
      <c r="E160" s="2">
        <v>73562</v>
      </c>
      <c r="F160" s="2">
        <v>-145575</v>
      </c>
      <c r="G160" s="2">
        <v>3353386</v>
      </c>
      <c r="H160" s="2"/>
      <c r="I160" s="2">
        <f t="shared" si="4"/>
        <v>3368845</v>
      </c>
      <c r="J160" s="2">
        <f t="shared" si="5"/>
        <v>3349599</v>
      </c>
      <c r="K160" s="2"/>
    </row>
    <row r="161" spans="1:11" x14ac:dyDescent="0.3">
      <c r="A161" s="1">
        <v>14568</v>
      </c>
      <c r="B161" s="2">
        <v>2326440</v>
      </c>
      <c r="C161" s="2">
        <v>2358502</v>
      </c>
      <c r="D161" s="2">
        <v>31861</v>
      </c>
      <c r="E161" s="2">
        <v>-63923</v>
      </c>
      <c r="F161" s="2"/>
      <c r="G161" s="2"/>
      <c r="H161" s="2"/>
      <c r="I161" s="2">
        <f t="shared" si="4"/>
        <v>-32062</v>
      </c>
      <c r="J161" s="2">
        <f t="shared" si="5"/>
        <v>2326440</v>
      </c>
      <c r="K161" s="2"/>
    </row>
    <row r="162" spans="1:11" x14ac:dyDescent="0.3">
      <c r="A162" s="1">
        <v>14079</v>
      </c>
      <c r="B162" s="2">
        <v>2298571</v>
      </c>
      <c r="C162" s="2">
        <v>2344809</v>
      </c>
      <c r="D162" s="2">
        <v>-46237</v>
      </c>
      <c r="E162" s="2"/>
      <c r="F162" s="2"/>
      <c r="G162" s="2"/>
      <c r="H162" s="2"/>
      <c r="I162" s="2">
        <f t="shared" si="4"/>
        <v>-46237</v>
      </c>
      <c r="J162" s="2">
        <f t="shared" si="5"/>
        <v>2298571</v>
      </c>
      <c r="K162" s="2"/>
    </row>
    <row r="163" spans="1:11" x14ac:dyDescent="0.3">
      <c r="A163" s="1">
        <v>14883</v>
      </c>
      <c r="B163" s="2">
        <v>2064969</v>
      </c>
      <c r="C163" s="2">
        <v>-2500</v>
      </c>
      <c r="D163" s="2">
        <v>-21610</v>
      </c>
      <c r="E163" s="2"/>
      <c r="F163" s="2"/>
      <c r="G163" s="2">
        <v>2024797</v>
      </c>
      <c r="H163" s="2">
        <v>64282</v>
      </c>
      <c r="I163" s="2">
        <f t="shared" si="4"/>
        <v>2067469</v>
      </c>
      <c r="J163" s="2">
        <f t="shared" si="5"/>
        <v>2064969</v>
      </c>
      <c r="K163" s="2"/>
    </row>
    <row r="164" spans="1:11" x14ac:dyDescent="0.3">
      <c r="A164" s="1">
        <v>14423</v>
      </c>
      <c r="B164" s="2">
        <v>1670064</v>
      </c>
      <c r="C164" s="2"/>
      <c r="D164" s="2"/>
      <c r="E164" s="2"/>
      <c r="F164" s="2"/>
      <c r="G164" s="2"/>
      <c r="H164" s="2">
        <v>1670064</v>
      </c>
      <c r="I164" s="2">
        <f t="shared" si="4"/>
        <v>1670064</v>
      </c>
      <c r="J164" s="2">
        <f t="shared" si="5"/>
        <v>1670064</v>
      </c>
      <c r="K164" s="2"/>
    </row>
    <row r="165" spans="1:11" x14ac:dyDescent="0.3">
      <c r="A165" s="1">
        <v>13366</v>
      </c>
      <c r="B165" s="2">
        <v>1646076</v>
      </c>
      <c r="C165" s="2">
        <v>86494</v>
      </c>
      <c r="D165" s="2">
        <v>-1378200</v>
      </c>
      <c r="E165" s="2">
        <v>1614715</v>
      </c>
      <c r="F165" s="2"/>
      <c r="G165" s="2">
        <v>1323066</v>
      </c>
      <c r="H165" s="2"/>
      <c r="I165" s="2">
        <f t="shared" si="4"/>
        <v>1559581</v>
      </c>
      <c r="J165" s="2">
        <f t="shared" si="5"/>
        <v>1646076</v>
      </c>
      <c r="K165" s="2"/>
    </row>
    <row r="166" spans="1:11" x14ac:dyDescent="0.3">
      <c r="A166" s="1">
        <v>13736</v>
      </c>
      <c r="B166" s="2">
        <v>838841</v>
      </c>
      <c r="C166" s="2"/>
      <c r="D166" s="2"/>
      <c r="E166" s="2"/>
      <c r="F166" s="2">
        <v>-25000</v>
      </c>
      <c r="G166" s="2">
        <v>-175000</v>
      </c>
      <c r="H166" s="2">
        <v>1038841</v>
      </c>
      <c r="I166" s="2">
        <f t="shared" si="4"/>
        <v>838841</v>
      </c>
      <c r="J166" s="2">
        <f t="shared" si="5"/>
        <v>838841</v>
      </c>
      <c r="K166" s="2"/>
    </row>
    <row r="167" spans="1:11" x14ac:dyDescent="0.3">
      <c r="A167" s="1">
        <v>14717</v>
      </c>
      <c r="B167" s="2">
        <v>805169</v>
      </c>
      <c r="C167" s="2"/>
      <c r="D167" s="2"/>
      <c r="E167" s="2"/>
      <c r="F167" s="2"/>
      <c r="G167" s="2">
        <v>805169</v>
      </c>
      <c r="H167" s="2"/>
      <c r="I167" s="2">
        <f t="shared" si="4"/>
        <v>805169</v>
      </c>
      <c r="J167" s="2">
        <f t="shared" si="5"/>
        <v>805169</v>
      </c>
      <c r="K167" s="2"/>
    </row>
    <row r="168" spans="1:11" x14ac:dyDescent="0.3">
      <c r="A168" s="1">
        <v>14928</v>
      </c>
      <c r="B168" s="2">
        <v>649962</v>
      </c>
      <c r="C168" s="2"/>
      <c r="D168" s="2">
        <v>-16</v>
      </c>
      <c r="E168" s="2">
        <v>-100022</v>
      </c>
      <c r="F168" s="2">
        <v>-89553</v>
      </c>
      <c r="G168" s="2">
        <v>839553</v>
      </c>
      <c r="H168" s="2"/>
      <c r="I168" s="2">
        <f t="shared" si="4"/>
        <v>649962</v>
      </c>
      <c r="J168" s="2">
        <f t="shared" si="5"/>
        <v>649962</v>
      </c>
      <c r="K168" s="2"/>
    </row>
    <row r="169" spans="1:11" x14ac:dyDescent="0.3">
      <c r="A169" s="1">
        <v>14470</v>
      </c>
      <c r="B169" s="2">
        <v>601300</v>
      </c>
      <c r="C169" s="2"/>
      <c r="D169" s="2"/>
      <c r="E169" s="2"/>
      <c r="F169" s="2"/>
      <c r="G169" s="2"/>
      <c r="H169" s="2">
        <v>601300</v>
      </c>
      <c r="I169" s="2">
        <f t="shared" si="4"/>
        <v>601300</v>
      </c>
      <c r="J169" s="2">
        <f t="shared" si="5"/>
        <v>601300</v>
      </c>
      <c r="K169" s="2"/>
    </row>
    <row r="170" spans="1:11" x14ac:dyDescent="0.3">
      <c r="A170" s="1">
        <v>14582</v>
      </c>
      <c r="B170" s="2">
        <v>432756</v>
      </c>
      <c r="C170" s="2"/>
      <c r="D170" s="2"/>
      <c r="E170" s="2"/>
      <c r="F170" s="2"/>
      <c r="G170" s="2">
        <v>-1344</v>
      </c>
      <c r="H170" s="2">
        <v>434100</v>
      </c>
      <c r="I170" s="2">
        <f t="shared" si="4"/>
        <v>432756</v>
      </c>
      <c r="J170" s="2">
        <f t="shared" si="5"/>
        <v>432756</v>
      </c>
      <c r="K170" s="2"/>
    </row>
    <row r="171" spans="1:11" x14ac:dyDescent="0.3">
      <c r="A171" s="1">
        <v>13379</v>
      </c>
      <c r="B171" s="2">
        <v>258283</v>
      </c>
      <c r="C171" s="2"/>
      <c r="D171" s="2"/>
      <c r="E171" s="2"/>
      <c r="F171" s="2"/>
      <c r="G171" s="2">
        <v>-942</v>
      </c>
      <c r="H171" s="2">
        <v>259225</v>
      </c>
      <c r="I171" s="2">
        <f t="shared" si="4"/>
        <v>258283</v>
      </c>
      <c r="J171" s="2">
        <f t="shared" si="5"/>
        <v>258283</v>
      </c>
      <c r="K171" s="2"/>
    </row>
    <row r="172" spans="1:11" x14ac:dyDescent="0.3">
      <c r="A172" s="1">
        <v>15000</v>
      </c>
      <c r="B172" s="2">
        <v>255839</v>
      </c>
      <c r="C172" s="2"/>
      <c r="D172" s="2">
        <v>248284</v>
      </c>
      <c r="E172" s="2">
        <v>-123264</v>
      </c>
      <c r="F172" s="2"/>
      <c r="G172" s="2">
        <v>130820</v>
      </c>
      <c r="H172" s="2"/>
      <c r="I172" s="2">
        <f t="shared" si="4"/>
        <v>255840</v>
      </c>
      <c r="J172" s="2">
        <f t="shared" si="5"/>
        <v>255839</v>
      </c>
      <c r="K172" s="2"/>
    </row>
    <row r="173" spans="1:11" x14ac:dyDescent="0.3">
      <c r="A173" s="1">
        <v>14347</v>
      </c>
      <c r="B173" s="2">
        <v>88230</v>
      </c>
      <c r="C173" s="2">
        <v>-2047414</v>
      </c>
      <c r="D173" s="2">
        <v>2137843</v>
      </c>
      <c r="E173" s="2">
        <v>-2199</v>
      </c>
      <c r="F173" s="2"/>
      <c r="G173" s="2"/>
      <c r="H173" s="2"/>
      <c r="I173" s="2">
        <f t="shared" ref="I173:I206" si="6">H173+G173+F173+E173+D173</f>
        <v>2135644</v>
      </c>
      <c r="J173" s="2">
        <f t="shared" si="5"/>
        <v>88230</v>
      </c>
      <c r="K173" s="2"/>
    </row>
    <row r="174" spans="1:11" x14ac:dyDescent="0.3">
      <c r="A174" s="1">
        <v>14909</v>
      </c>
      <c r="B174" s="2">
        <v>65479</v>
      </c>
      <c r="C174" s="2"/>
      <c r="D174" s="2"/>
      <c r="E174" s="2"/>
      <c r="F174" s="2"/>
      <c r="G174" s="2"/>
      <c r="H174" s="2">
        <v>65479</v>
      </c>
      <c r="I174" s="2">
        <f t="shared" si="6"/>
        <v>65479</v>
      </c>
      <c r="J174" s="2">
        <f t="shared" si="5"/>
        <v>65479</v>
      </c>
      <c r="K174" s="2"/>
    </row>
    <row r="175" spans="1:11" x14ac:dyDescent="0.3">
      <c r="A175" s="1">
        <v>13224</v>
      </c>
      <c r="B175" s="2">
        <v>28880748</v>
      </c>
      <c r="C175" s="2">
        <v>2675140</v>
      </c>
      <c r="D175" s="2">
        <v>4817477</v>
      </c>
      <c r="E175" s="2">
        <v>5388355</v>
      </c>
      <c r="F175" s="2">
        <v>10563790</v>
      </c>
      <c r="G175" s="2">
        <v>-4249949</v>
      </c>
      <c r="H175" s="2">
        <v>9685936</v>
      </c>
      <c r="I175" s="2">
        <f t="shared" si="6"/>
        <v>26205609</v>
      </c>
      <c r="J175" s="2">
        <f t="shared" si="5"/>
        <v>28880748</v>
      </c>
      <c r="K175" s="2"/>
    </row>
    <row r="176" spans="1:11" x14ac:dyDescent="0.3">
      <c r="A176" s="1">
        <v>10842</v>
      </c>
      <c r="B176" s="2">
        <v>2855589</v>
      </c>
      <c r="C176" s="2">
        <v>2918554</v>
      </c>
      <c r="D176" s="2">
        <v>-12965</v>
      </c>
      <c r="E176" s="2"/>
      <c r="F176" s="2"/>
      <c r="G176" s="2"/>
      <c r="H176" s="2">
        <v>-50000</v>
      </c>
      <c r="I176" s="2">
        <f t="shared" si="6"/>
        <v>-62965</v>
      </c>
      <c r="J176" s="2">
        <f t="shared" si="5"/>
        <v>2855589</v>
      </c>
      <c r="K176" s="2"/>
    </row>
    <row r="177" spans="1:11" x14ac:dyDescent="0.3">
      <c r="A177" s="1">
        <v>15013</v>
      </c>
      <c r="B177" s="2">
        <v>2668226</v>
      </c>
      <c r="C177" s="2"/>
      <c r="D177" s="2">
        <v>2668226</v>
      </c>
      <c r="E177" s="2"/>
      <c r="F177" s="2"/>
      <c r="G177" s="2"/>
      <c r="H177" s="2"/>
      <c r="I177" s="2">
        <f t="shared" si="6"/>
        <v>2668226</v>
      </c>
      <c r="J177" s="2">
        <f t="shared" si="5"/>
        <v>2668226</v>
      </c>
      <c r="K177" s="2"/>
    </row>
    <row r="178" spans="1:11" x14ac:dyDescent="0.3">
      <c r="A178" s="1">
        <v>10582</v>
      </c>
      <c r="B178" s="2">
        <v>1767245</v>
      </c>
      <c r="C178" s="2"/>
      <c r="D178" s="2">
        <v>1824898</v>
      </c>
      <c r="E178" s="2"/>
      <c r="F178" s="2">
        <v>-25000</v>
      </c>
      <c r="G178" s="2">
        <v>-32553</v>
      </c>
      <c r="H178" s="2">
        <v>-100</v>
      </c>
      <c r="I178" s="2">
        <f t="shared" si="6"/>
        <v>1767245</v>
      </c>
      <c r="J178" s="2">
        <f t="shared" si="5"/>
        <v>1767245</v>
      </c>
      <c r="K178" s="2"/>
    </row>
    <row r="179" spans="1:11" x14ac:dyDescent="0.3">
      <c r="A179" s="1">
        <v>12600</v>
      </c>
      <c r="B179" s="2">
        <v>814616</v>
      </c>
      <c r="C179" s="2">
        <v>827024</v>
      </c>
      <c r="D179" s="2"/>
      <c r="E179" s="2">
        <v>-89688</v>
      </c>
      <c r="F179" s="2"/>
      <c r="G179" s="2">
        <v>77280</v>
      </c>
      <c r="H179" s="2"/>
      <c r="I179" s="2">
        <f t="shared" si="6"/>
        <v>-12408</v>
      </c>
      <c r="J179" s="2">
        <f t="shared" si="5"/>
        <v>814616</v>
      </c>
      <c r="K179" s="2"/>
    </row>
    <row r="180" spans="1:11" x14ac:dyDescent="0.3">
      <c r="A180" s="1">
        <v>14828</v>
      </c>
      <c r="B180" s="2">
        <v>409053</v>
      </c>
      <c r="C180" s="2"/>
      <c r="D180" s="2"/>
      <c r="E180" s="2"/>
      <c r="F180" s="2"/>
      <c r="G180" s="2"/>
      <c r="H180" s="2">
        <v>409053</v>
      </c>
      <c r="I180" s="2">
        <f t="shared" si="6"/>
        <v>409053</v>
      </c>
      <c r="J180" s="2">
        <f t="shared" si="5"/>
        <v>409053</v>
      </c>
      <c r="K180" s="2"/>
    </row>
    <row r="181" spans="1:11" x14ac:dyDescent="0.3">
      <c r="A181" s="1">
        <v>13004</v>
      </c>
      <c r="B181" s="2">
        <v>392027</v>
      </c>
      <c r="C181" s="2"/>
      <c r="D181" s="2">
        <v>76916</v>
      </c>
      <c r="E181" s="2">
        <v>111169</v>
      </c>
      <c r="F181" s="2">
        <v>111169</v>
      </c>
      <c r="G181" s="2">
        <v>92775</v>
      </c>
      <c r="H181" s="2"/>
      <c r="I181" s="2">
        <f t="shared" si="6"/>
        <v>392029</v>
      </c>
      <c r="J181" s="2">
        <f t="shared" si="5"/>
        <v>392027</v>
      </c>
      <c r="K181" s="2"/>
    </row>
    <row r="182" spans="1:11" x14ac:dyDescent="0.3">
      <c r="A182" s="1">
        <v>12465</v>
      </c>
      <c r="B182" s="2">
        <v>189058</v>
      </c>
      <c r="C182" s="2"/>
      <c r="D182" s="2">
        <v>119829</v>
      </c>
      <c r="E182" s="2">
        <v>69229</v>
      </c>
      <c r="F182" s="2"/>
      <c r="G182" s="2"/>
      <c r="H182" s="2"/>
      <c r="I182" s="2">
        <f t="shared" si="6"/>
        <v>189058</v>
      </c>
      <c r="J182" s="2">
        <f t="shared" si="5"/>
        <v>189058</v>
      </c>
      <c r="K182" s="2"/>
    </row>
    <row r="183" spans="1:11" x14ac:dyDescent="0.3">
      <c r="A183" s="1">
        <v>11320</v>
      </c>
      <c r="B183" s="2">
        <v>83166</v>
      </c>
      <c r="C183" s="2">
        <v>1448186</v>
      </c>
      <c r="D183" s="2">
        <v>-1458186</v>
      </c>
      <c r="E183" s="2">
        <v>-27318</v>
      </c>
      <c r="F183" s="2">
        <v>-10000</v>
      </c>
      <c r="G183" s="2">
        <v>130484</v>
      </c>
      <c r="H183" s="2"/>
      <c r="I183" s="2">
        <f t="shared" si="6"/>
        <v>-1365020</v>
      </c>
      <c r="J183" s="2">
        <f t="shared" si="5"/>
        <v>83166</v>
      </c>
      <c r="K183" s="2"/>
    </row>
    <row r="184" spans="1:11" x14ac:dyDescent="0.3">
      <c r="A184" s="1">
        <v>14736</v>
      </c>
      <c r="B184" s="2">
        <v>5202</v>
      </c>
      <c r="C184" s="2">
        <v>971</v>
      </c>
      <c r="D184" s="2">
        <v>4231</v>
      </c>
      <c r="E184" s="2"/>
      <c r="F184" s="2"/>
      <c r="G184" s="2"/>
      <c r="H184" s="2"/>
      <c r="I184" s="2">
        <f t="shared" si="6"/>
        <v>4231</v>
      </c>
      <c r="J184" s="2">
        <f t="shared" si="5"/>
        <v>5202</v>
      </c>
      <c r="K184" s="2"/>
    </row>
    <row r="185" spans="1:11" x14ac:dyDescent="0.3">
      <c r="A185" s="1">
        <v>13381</v>
      </c>
      <c r="B185" s="2">
        <v>8369574</v>
      </c>
      <c r="C185" s="2">
        <v>-54791</v>
      </c>
      <c r="D185" s="2">
        <v>-1269521</v>
      </c>
      <c r="E185" s="2"/>
      <c r="F185" s="2">
        <v>338077</v>
      </c>
      <c r="G185" s="2">
        <v>9639859</v>
      </c>
      <c r="H185" s="2">
        <v>-284051</v>
      </c>
      <c r="I185" s="2">
        <f t="shared" si="6"/>
        <v>8424364</v>
      </c>
      <c r="J185" s="2">
        <f t="shared" si="5"/>
        <v>8369574</v>
      </c>
      <c r="K185" s="2"/>
    </row>
    <row r="186" spans="1:11" x14ac:dyDescent="0.3">
      <c r="A186" s="1">
        <v>10559</v>
      </c>
      <c r="B186" s="2">
        <v>6082205</v>
      </c>
      <c r="C186" s="2"/>
      <c r="D186" s="2">
        <v>1053809</v>
      </c>
      <c r="E186" s="2">
        <v>-200000</v>
      </c>
      <c r="F186" s="2">
        <v>279690</v>
      </c>
      <c r="G186" s="2">
        <v>4948706</v>
      </c>
      <c r="H186" s="2"/>
      <c r="I186" s="2">
        <f t="shared" si="6"/>
        <v>6082205</v>
      </c>
      <c r="J186" s="2">
        <f t="shared" si="5"/>
        <v>6082205</v>
      </c>
      <c r="K186" s="2"/>
    </row>
    <row r="187" spans="1:11" x14ac:dyDescent="0.3">
      <c r="A187" s="1">
        <v>10652</v>
      </c>
      <c r="B187" s="2">
        <v>4416341</v>
      </c>
      <c r="C187" s="2">
        <v>1630217</v>
      </c>
      <c r="D187" s="2">
        <v>-16711</v>
      </c>
      <c r="E187" s="2">
        <v>-187709</v>
      </c>
      <c r="F187" s="2">
        <v>-173402</v>
      </c>
      <c r="G187" s="2">
        <v>3163946</v>
      </c>
      <c r="H187" s="2"/>
      <c r="I187" s="2">
        <f t="shared" si="6"/>
        <v>2786124</v>
      </c>
      <c r="J187" s="2">
        <f t="shared" si="5"/>
        <v>4416341</v>
      </c>
      <c r="K187" s="2"/>
    </row>
    <row r="188" spans="1:11" x14ac:dyDescent="0.3">
      <c r="A188" s="1">
        <v>12935</v>
      </c>
      <c r="B188" s="2">
        <v>3951998</v>
      </c>
      <c r="C188" s="2">
        <v>-903504</v>
      </c>
      <c r="D188" s="2">
        <v>1571481</v>
      </c>
      <c r="E188" s="2">
        <v>-6300</v>
      </c>
      <c r="F188" s="2"/>
      <c r="G188" s="2">
        <v>2069629</v>
      </c>
      <c r="H188" s="2">
        <v>1220693</v>
      </c>
      <c r="I188" s="2">
        <f t="shared" si="6"/>
        <v>4855503</v>
      </c>
      <c r="J188" s="2">
        <f t="shared" si="5"/>
        <v>3951998</v>
      </c>
      <c r="K188" s="2"/>
    </row>
    <row r="189" spans="1:11" x14ac:dyDescent="0.3">
      <c r="A189" s="1">
        <v>11374</v>
      </c>
      <c r="B189" s="2">
        <v>3341521</v>
      </c>
      <c r="C189" s="2">
        <v>-15758</v>
      </c>
      <c r="D189" s="2">
        <v>-284080</v>
      </c>
      <c r="E189" s="2">
        <v>-11727</v>
      </c>
      <c r="F189" s="2"/>
      <c r="G189" s="2">
        <v>3653086</v>
      </c>
      <c r="H189" s="2"/>
      <c r="I189" s="2">
        <f t="shared" si="6"/>
        <v>3357279</v>
      </c>
      <c r="J189" s="2">
        <f t="shared" si="5"/>
        <v>3341521</v>
      </c>
      <c r="K189" s="2"/>
    </row>
    <row r="190" spans="1:11" x14ac:dyDescent="0.3">
      <c r="A190" s="1">
        <v>14027</v>
      </c>
      <c r="B190" s="2">
        <v>2487698</v>
      </c>
      <c r="C190" s="2">
        <v>710598</v>
      </c>
      <c r="D190" s="2">
        <v>761450</v>
      </c>
      <c r="E190" s="2">
        <v>-9088</v>
      </c>
      <c r="F190" s="2">
        <v>75559</v>
      </c>
      <c r="G190" s="2">
        <v>949178</v>
      </c>
      <c r="H190" s="2"/>
      <c r="I190" s="2">
        <f t="shared" si="6"/>
        <v>1777099</v>
      </c>
      <c r="J190" s="2">
        <f t="shared" si="5"/>
        <v>2487698</v>
      </c>
      <c r="K190" s="2"/>
    </row>
    <row r="191" spans="1:11" x14ac:dyDescent="0.3">
      <c r="A191" s="1">
        <v>14881</v>
      </c>
      <c r="B191" s="2">
        <v>1580971</v>
      </c>
      <c r="C191" s="2">
        <v>-8595</v>
      </c>
      <c r="D191" s="2">
        <v>82140</v>
      </c>
      <c r="E191" s="2">
        <v>289961</v>
      </c>
      <c r="F191" s="2"/>
      <c r="G191" s="2">
        <v>1217464</v>
      </c>
      <c r="H191" s="2"/>
      <c r="I191" s="2">
        <f t="shared" si="6"/>
        <v>1589565</v>
      </c>
      <c r="J191" s="2">
        <f t="shared" si="5"/>
        <v>1580971</v>
      </c>
      <c r="K191" s="2"/>
    </row>
    <row r="192" spans="1:11" x14ac:dyDescent="0.3">
      <c r="A192" s="1">
        <v>14424</v>
      </c>
      <c r="B192" s="2">
        <v>1247991</v>
      </c>
      <c r="C192" s="2"/>
      <c r="D192" s="2">
        <v>-2975</v>
      </c>
      <c r="E192" s="2">
        <v>53678</v>
      </c>
      <c r="F192" s="2">
        <v>-219500</v>
      </c>
      <c r="G192" s="2">
        <v>438875</v>
      </c>
      <c r="H192" s="2">
        <v>977914</v>
      </c>
      <c r="I192" s="2">
        <f t="shared" si="6"/>
        <v>1247992</v>
      </c>
      <c r="J192" s="2">
        <f t="shared" si="5"/>
        <v>1247991</v>
      </c>
      <c r="K192" s="2"/>
    </row>
    <row r="193" spans="1:11" x14ac:dyDescent="0.3">
      <c r="A193" s="1">
        <v>14890</v>
      </c>
      <c r="B193" s="2">
        <v>1185439</v>
      </c>
      <c r="C193" s="2"/>
      <c r="D193" s="2">
        <v>-113266</v>
      </c>
      <c r="E193" s="2"/>
      <c r="F193" s="2"/>
      <c r="G193" s="2">
        <v>1298705</v>
      </c>
      <c r="H193" s="2"/>
      <c r="I193" s="2">
        <f t="shared" si="6"/>
        <v>1185439</v>
      </c>
      <c r="J193" s="2">
        <f t="shared" si="5"/>
        <v>1185439</v>
      </c>
      <c r="K193" s="2"/>
    </row>
    <row r="194" spans="1:11" x14ac:dyDescent="0.3">
      <c r="A194" s="1">
        <v>14957</v>
      </c>
      <c r="B194" s="2">
        <v>7563</v>
      </c>
      <c r="C194" s="2">
        <v>-700</v>
      </c>
      <c r="D194" s="2">
        <v>8263</v>
      </c>
      <c r="E194" s="2"/>
      <c r="F194" s="2"/>
      <c r="G194" s="2"/>
      <c r="H194" s="2"/>
      <c r="I194" s="2">
        <f t="shared" si="6"/>
        <v>8263</v>
      </c>
      <c r="J194" s="2">
        <f t="shared" ref="J194:J257" si="7">B194-K194</f>
        <v>7563</v>
      </c>
      <c r="K194" s="2"/>
    </row>
    <row r="195" spans="1:11" x14ac:dyDescent="0.3">
      <c r="A195" s="1">
        <v>14919</v>
      </c>
      <c r="B195" s="2">
        <v>3641496</v>
      </c>
      <c r="C195" s="2"/>
      <c r="D195" s="2"/>
      <c r="E195" s="2"/>
      <c r="F195" s="2">
        <v>3033346</v>
      </c>
      <c r="G195" s="2">
        <v>608150</v>
      </c>
      <c r="H195" s="2"/>
      <c r="I195" s="2">
        <f t="shared" si="6"/>
        <v>3641496</v>
      </c>
      <c r="J195" s="2">
        <f t="shared" si="7"/>
        <v>3641496</v>
      </c>
      <c r="K195" s="2"/>
    </row>
    <row r="196" spans="1:11" x14ac:dyDescent="0.3">
      <c r="A196" s="1">
        <v>15015</v>
      </c>
      <c r="B196" s="2">
        <v>3499209</v>
      </c>
      <c r="C196" s="2">
        <v>865256</v>
      </c>
      <c r="D196" s="2">
        <v>2033953</v>
      </c>
      <c r="E196" s="2">
        <v>600000</v>
      </c>
      <c r="F196" s="2"/>
      <c r="G196" s="2"/>
      <c r="H196" s="2"/>
      <c r="I196" s="2">
        <f t="shared" si="6"/>
        <v>2633953</v>
      </c>
      <c r="J196" s="2">
        <f t="shared" si="7"/>
        <v>3499209</v>
      </c>
      <c r="K196" s="2"/>
    </row>
    <row r="197" spans="1:11" x14ac:dyDescent="0.3">
      <c r="A197" s="1">
        <v>14918</v>
      </c>
      <c r="B197" s="2">
        <v>3179043</v>
      </c>
      <c r="C197" s="2">
        <v>1667407</v>
      </c>
      <c r="D197" s="2">
        <v>1511636</v>
      </c>
      <c r="E197" s="2"/>
      <c r="F197" s="2"/>
      <c r="G197" s="2"/>
      <c r="H197" s="2"/>
      <c r="I197" s="2">
        <f t="shared" si="6"/>
        <v>1511636</v>
      </c>
      <c r="J197" s="2">
        <f t="shared" si="7"/>
        <v>3179043</v>
      </c>
      <c r="K197" s="2"/>
    </row>
    <row r="198" spans="1:11" x14ac:dyDescent="0.3">
      <c r="A198" s="1">
        <v>14671</v>
      </c>
      <c r="B198" s="2">
        <v>2383234</v>
      </c>
      <c r="C198" s="2">
        <v>1209696</v>
      </c>
      <c r="D198" s="2">
        <v>1173538</v>
      </c>
      <c r="E198" s="2"/>
      <c r="F198" s="2"/>
      <c r="G198" s="2"/>
      <c r="H198" s="2"/>
      <c r="I198" s="2">
        <f t="shared" si="6"/>
        <v>1173538</v>
      </c>
      <c r="J198" s="2">
        <f t="shared" si="7"/>
        <v>2383234</v>
      </c>
      <c r="K198" s="2"/>
    </row>
    <row r="199" spans="1:11" x14ac:dyDescent="0.3">
      <c r="A199" s="1">
        <v>14596</v>
      </c>
      <c r="B199" s="2">
        <v>1418562</v>
      </c>
      <c r="C199" s="2">
        <v>-20000</v>
      </c>
      <c r="D199" s="2"/>
      <c r="E199" s="2">
        <v>-20000</v>
      </c>
      <c r="F199" s="2">
        <v>-20000</v>
      </c>
      <c r="G199" s="2">
        <v>-340000</v>
      </c>
      <c r="H199" s="2">
        <v>1818562</v>
      </c>
      <c r="I199" s="2">
        <f t="shared" si="6"/>
        <v>1438562</v>
      </c>
      <c r="J199" s="2">
        <f t="shared" si="7"/>
        <v>1418562</v>
      </c>
      <c r="K199" s="2"/>
    </row>
    <row r="200" spans="1:11" x14ac:dyDescent="0.3">
      <c r="A200" s="1">
        <v>14733</v>
      </c>
      <c r="B200" s="2">
        <v>1172324</v>
      </c>
      <c r="C200" s="2"/>
      <c r="D200" s="2">
        <v>-10000</v>
      </c>
      <c r="E200" s="2">
        <v>-30000</v>
      </c>
      <c r="F200" s="2"/>
      <c r="G200" s="2">
        <v>-100000</v>
      </c>
      <c r="H200" s="2">
        <v>1312324</v>
      </c>
      <c r="I200" s="2">
        <f t="shared" si="6"/>
        <v>1172324</v>
      </c>
      <c r="J200" s="2">
        <f t="shared" si="7"/>
        <v>1172324</v>
      </c>
      <c r="K200" s="2"/>
    </row>
    <row r="201" spans="1:11" x14ac:dyDescent="0.3">
      <c r="A201" s="1">
        <v>12601</v>
      </c>
      <c r="B201" s="2">
        <v>992550</v>
      </c>
      <c r="C201" s="2"/>
      <c r="D201" s="2"/>
      <c r="E201" s="2"/>
      <c r="F201" s="2"/>
      <c r="G201" s="2"/>
      <c r="H201" s="2">
        <v>992550</v>
      </c>
      <c r="I201" s="2">
        <f t="shared" si="6"/>
        <v>992550</v>
      </c>
      <c r="J201" s="2">
        <f t="shared" si="7"/>
        <v>992550</v>
      </c>
      <c r="K201" s="2"/>
    </row>
    <row r="202" spans="1:11" x14ac:dyDescent="0.3">
      <c r="A202" s="1">
        <v>14035</v>
      </c>
      <c r="B202" s="2">
        <v>564763</v>
      </c>
      <c r="C202" s="2"/>
      <c r="D202" s="2"/>
      <c r="E202" s="2"/>
      <c r="F202" s="2"/>
      <c r="G202" s="2">
        <v>331522</v>
      </c>
      <c r="H202" s="2">
        <v>233241</v>
      </c>
      <c r="I202" s="2">
        <f t="shared" si="6"/>
        <v>564763</v>
      </c>
      <c r="J202" s="2">
        <f t="shared" si="7"/>
        <v>564763</v>
      </c>
      <c r="K202" s="2"/>
    </row>
    <row r="203" spans="1:11" x14ac:dyDescent="0.3">
      <c r="A203" s="1">
        <v>13916</v>
      </c>
      <c r="B203" s="2">
        <v>271614</v>
      </c>
      <c r="C203" s="2"/>
      <c r="D203" s="2"/>
      <c r="E203" s="2"/>
      <c r="F203" s="2"/>
      <c r="G203" s="2">
        <v>-20000</v>
      </c>
      <c r="H203" s="2">
        <v>291614</v>
      </c>
      <c r="I203" s="2">
        <f t="shared" si="6"/>
        <v>271614</v>
      </c>
      <c r="J203" s="2">
        <f t="shared" si="7"/>
        <v>271614</v>
      </c>
      <c r="K203" s="2"/>
    </row>
    <row r="204" spans="1:11" x14ac:dyDescent="0.3">
      <c r="A204" s="1">
        <v>13260</v>
      </c>
      <c r="B204" s="2">
        <v>114056</v>
      </c>
      <c r="C204" s="2">
        <v>-99755</v>
      </c>
      <c r="D204" s="2">
        <v>213812</v>
      </c>
      <c r="E204" s="2"/>
      <c r="F204" s="2"/>
      <c r="G204" s="2"/>
      <c r="H204" s="2"/>
      <c r="I204" s="2">
        <f t="shared" si="6"/>
        <v>213812</v>
      </c>
      <c r="J204" s="2">
        <f t="shared" si="7"/>
        <v>114056</v>
      </c>
      <c r="K204" s="2"/>
    </row>
    <row r="205" spans="1:11" x14ac:dyDescent="0.3">
      <c r="A205" s="1">
        <v>12602</v>
      </c>
      <c r="B205" s="2">
        <v>76397</v>
      </c>
      <c r="C205" s="2"/>
      <c r="D205" s="2"/>
      <c r="E205" s="2"/>
      <c r="F205" s="2"/>
      <c r="G205" s="2">
        <v>76397</v>
      </c>
      <c r="H205" s="2"/>
      <c r="I205" s="2">
        <f t="shared" si="6"/>
        <v>76397</v>
      </c>
      <c r="J205" s="2">
        <f t="shared" si="7"/>
        <v>76397</v>
      </c>
      <c r="K205" s="2"/>
    </row>
    <row r="206" spans="1:11" x14ac:dyDescent="0.3">
      <c r="A206" s="1">
        <v>13359</v>
      </c>
      <c r="B206" s="2">
        <v>233</v>
      </c>
      <c r="C206" s="2"/>
      <c r="D206" s="2"/>
      <c r="E206" s="2"/>
      <c r="F206" s="2"/>
      <c r="G206" s="2"/>
      <c r="H206" s="2">
        <v>233</v>
      </c>
      <c r="I206" s="2">
        <f t="shared" si="6"/>
        <v>233</v>
      </c>
      <c r="J206" s="2">
        <f t="shared" si="7"/>
        <v>233</v>
      </c>
      <c r="K206" s="2"/>
    </row>
    <row r="207" spans="1:11" x14ac:dyDescent="0.3">
      <c r="A207" s="1">
        <v>13604</v>
      </c>
      <c r="B207" s="2">
        <v>3243671</v>
      </c>
      <c r="C207" s="2">
        <v>1481157</v>
      </c>
      <c r="D207" s="2">
        <v>-222847</v>
      </c>
      <c r="E207" s="2">
        <v>-83807</v>
      </c>
      <c r="F207" s="2">
        <v>-58473</v>
      </c>
      <c r="G207" s="2">
        <v>2127642</v>
      </c>
      <c r="H207" s="2"/>
      <c r="I207" s="2">
        <f t="shared" ref="I207:I239" si="8">H207+G207+F207+E207+D207</f>
        <v>1762515</v>
      </c>
      <c r="J207" s="2">
        <f t="shared" si="7"/>
        <v>3243671</v>
      </c>
      <c r="K207" s="2"/>
    </row>
    <row r="208" spans="1:11" x14ac:dyDescent="0.3">
      <c r="A208" s="1">
        <v>12868</v>
      </c>
      <c r="B208" s="2">
        <v>2322738</v>
      </c>
      <c r="C208" s="2">
        <v>-747412</v>
      </c>
      <c r="D208" s="2">
        <v>699102</v>
      </c>
      <c r="E208" s="2">
        <v>72936</v>
      </c>
      <c r="F208" s="2">
        <v>-19843</v>
      </c>
      <c r="G208" s="2">
        <v>739462</v>
      </c>
      <c r="H208" s="2">
        <v>1578493</v>
      </c>
      <c r="I208" s="2">
        <f t="shared" si="8"/>
        <v>3070150</v>
      </c>
      <c r="J208" s="2">
        <f t="shared" si="7"/>
        <v>2322738</v>
      </c>
      <c r="K208" s="2"/>
    </row>
    <row r="209" spans="1:11" x14ac:dyDescent="0.3">
      <c r="A209" s="1">
        <v>14487</v>
      </c>
      <c r="B209" s="2">
        <v>1232130</v>
      </c>
      <c r="C209" s="2"/>
      <c r="D209" s="2"/>
      <c r="E209" s="2"/>
      <c r="F209" s="2"/>
      <c r="G209" s="2">
        <v>-200058</v>
      </c>
      <c r="H209" s="2">
        <v>1432188</v>
      </c>
      <c r="I209" s="2">
        <f t="shared" si="8"/>
        <v>1232130</v>
      </c>
      <c r="J209" s="2">
        <f t="shared" si="7"/>
        <v>1232130</v>
      </c>
      <c r="K209" s="2"/>
    </row>
    <row r="210" spans="1:11" x14ac:dyDescent="0.3">
      <c r="A210" s="1">
        <v>14107</v>
      </c>
      <c r="B210" s="2">
        <v>1090405</v>
      </c>
      <c r="C210" s="2">
        <v>-14633</v>
      </c>
      <c r="D210" s="2">
        <v>-744083</v>
      </c>
      <c r="E210" s="2">
        <v>-211695</v>
      </c>
      <c r="F210" s="2"/>
      <c r="G210" s="2">
        <v>220234</v>
      </c>
      <c r="H210" s="2">
        <v>1840582</v>
      </c>
      <c r="I210" s="2">
        <f t="shared" si="8"/>
        <v>1105038</v>
      </c>
      <c r="J210" s="2">
        <f t="shared" si="7"/>
        <v>1090405</v>
      </c>
      <c r="K210" s="2"/>
    </row>
    <row r="211" spans="1:11" x14ac:dyDescent="0.3">
      <c r="A211" s="1">
        <v>10471</v>
      </c>
      <c r="B211" s="2">
        <v>808570</v>
      </c>
      <c r="C211" s="2"/>
      <c r="D211" s="2"/>
      <c r="E211" s="2"/>
      <c r="F211" s="2"/>
      <c r="G211" s="2"/>
      <c r="H211" s="2">
        <v>808570</v>
      </c>
      <c r="I211" s="2">
        <f t="shared" si="8"/>
        <v>808570</v>
      </c>
      <c r="J211" s="2">
        <f t="shared" si="7"/>
        <v>808570</v>
      </c>
      <c r="K211" s="2"/>
    </row>
    <row r="212" spans="1:11" x14ac:dyDescent="0.3">
      <c r="A212" s="1">
        <v>14452</v>
      </c>
      <c r="B212" s="2">
        <v>164505</v>
      </c>
      <c r="C212" s="2"/>
      <c r="D212" s="2">
        <v>-295408</v>
      </c>
      <c r="E212" s="2">
        <v>295020</v>
      </c>
      <c r="F212" s="2">
        <v>32345</v>
      </c>
      <c r="G212" s="2"/>
      <c r="H212" s="2">
        <v>132548</v>
      </c>
      <c r="I212" s="2">
        <f t="shared" si="8"/>
        <v>164505</v>
      </c>
      <c r="J212" s="2">
        <f t="shared" si="7"/>
        <v>164505</v>
      </c>
      <c r="K212" s="2"/>
    </row>
    <row r="213" spans="1:11" x14ac:dyDescent="0.3">
      <c r="A213" s="1">
        <v>11427</v>
      </c>
      <c r="B213" s="2">
        <v>144063</v>
      </c>
      <c r="C213" s="2"/>
      <c r="D213" s="2"/>
      <c r="E213" s="2"/>
      <c r="F213" s="2">
        <v>144063</v>
      </c>
      <c r="G213" s="2"/>
      <c r="H213" s="2"/>
      <c r="I213" s="2">
        <f t="shared" si="8"/>
        <v>144063</v>
      </c>
      <c r="J213" s="2">
        <f t="shared" si="7"/>
        <v>144063</v>
      </c>
      <c r="K213" s="2"/>
    </row>
    <row r="214" spans="1:11" x14ac:dyDescent="0.3">
      <c r="A214" s="1">
        <v>10578</v>
      </c>
      <c r="B214" s="2">
        <v>18745</v>
      </c>
      <c r="C214" s="2"/>
      <c r="D214" s="2"/>
      <c r="E214" s="2"/>
      <c r="F214" s="2"/>
      <c r="G214" s="2"/>
      <c r="H214" s="2">
        <v>18745</v>
      </c>
      <c r="I214" s="2">
        <f t="shared" si="8"/>
        <v>18745</v>
      </c>
      <c r="J214" s="2">
        <f t="shared" si="7"/>
        <v>18745</v>
      </c>
      <c r="K214" s="2"/>
    </row>
    <row r="215" spans="1:11" x14ac:dyDescent="0.3">
      <c r="A215" s="1">
        <v>10595</v>
      </c>
      <c r="B215" s="2">
        <v>2290724</v>
      </c>
      <c r="C215" s="2">
        <v>2355483</v>
      </c>
      <c r="D215" s="2">
        <v>-43547</v>
      </c>
      <c r="E215" s="2">
        <v>-21212</v>
      </c>
      <c r="F215" s="2"/>
      <c r="G215" s="2"/>
      <c r="H215" s="2"/>
      <c r="I215" s="2">
        <f t="shared" si="8"/>
        <v>-64759</v>
      </c>
      <c r="J215" s="2">
        <f t="shared" si="7"/>
        <v>2290724</v>
      </c>
      <c r="K215" s="2"/>
    </row>
    <row r="216" spans="1:11" x14ac:dyDescent="0.3">
      <c r="A216" s="1">
        <v>14418</v>
      </c>
      <c r="B216" s="2">
        <v>1716696</v>
      </c>
      <c r="C216" s="2">
        <v>2321124</v>
      </c>
      <c r="D216" s="2">
        <v>-136874</v>
      </c>
      <c r="E216" s="2">
        <v>-447696</v>
      </c>
      <c r="F216" s="2">
        <v>-19859</v>
      </c>
      <c r="G216" s="2"/>
      <c r="H216" s="2"/>
      <c r="I216" s="2">
        <f t="shared" si="8"/>
        <v>-604429</v>
      </c>
      <c r="J216" s="2">
        <f t="shared" si="7"/>
        <v>1716696</v>
      </c>
      <c r="K216" s="2"/>
    </row>
    <row r="217" spans="1:11" x14ac:dyDescent="0.3">
      <c r="A217" s="1">
        <v>10572</v>
      </c>
      <c r="B217" s="2">
        <v>1663719</v>
      </c>
      <c r="C217" s="2">
        <v>850435</v>
      </c>
      <c r="D217" s="2">
        <v>1003524</v>
      </c>
      <c r="E217" s="2">
        <v>-182223</v>
      </c>
      <c r="F217" s="2">
        <v>-1000</v>
      </c>
      <c r="G217" s="2">
        <v>-7017</v>
      </c>
      <c r="H217" s="2"/>
      <c r="I217" s="2">
        <f t="shared" si="8"/>
        <v>813284</v>
      </c>
      <c r="J217" s="2">
        <f t="shared" si="7"/>
        <v>1663719</v>
      </c>
      <c r="K217" s="2"/>
    </row>
    <row r="218" spans="1:11" x14ac:dyDescent="0.3">
      <c r="A218" s="1">
        <v>10512</v>
      </c>
      <c r="B218" s="2">
        <v>1388623</v>
      </c>
      <c r="C218" s="2">
        <v>1388623</v>
      </c>
      <c r="D218" s="2"/>
      <c r="E218" s="2"/>
      <c r="F218" s="2"/>
      <c r="G218" s="2"/>
      <c r="H218" s="2"/>
      <c r="I218" s="2">
        <f t="shared" si="8"/>
        <v>0</v>
      </c>
      <c r="J218" s="2">
        <f t="shared" si="7"/>
        <v>1388623</v>
      </c>
      <c r="K218" s="2"/>
    </row>
    <row r="219" spans="1:11" x14ac:dyDescent="0.3">
      <c r="A219" s="1">
        <v>12210</v>
      </c>
      <c r="B219" s="2">
        <v>3160173</v>
      </c>
      <c r="C219" s="2"/>
      <c r="D219" s="2">
        <v>-84696</v>
      </c>
      <c r="E219" s="2">
        <v>-6383</v>
      </c>
      <c r="F219" s="2">
        <v>-2553</v>
      </c>
      <c r="G219" s="2">
        <v>1036257</v>
      </c>
      <c r="H219" s="2">
        <v>2217548</v>
      </c>
      <c r="I219" s="2">
        <f t="shared" si="8"/>
        <v>3160173</v>
      </c>
      <c r="J219" s="2">
        <f t="shared" si="7"/>
        <v>3160173</v>
      </c>
      <c r="K219" s="2"/>
    </row>
    <row r="220" spans="1:11" x14ac:dyDescent="0.3">
      <c r="A220" s="1">
        <v>13539</v>
      </c>
      <c r="B220" s="2">
        <v>1619132</v>
      </c>
      <c r="C220" s="2"/>
      <c r="D220" s="2">
        <v>1787874</v>
      </c>
      <c r="E220" s="2"/>
      <c r="F220" s="2"/>
      <c r="G220" s="2">
        <v>-168742</v>
      </c>
      <c r="H220" s="2"/>
      <c r="I220" s="2">
        <f t="shared" si="8"/>
        <v>1619132</v>
      </c>
      <c r="J220" s="2">
        <f t="shared" si="7"/>
        <v>1619132</v>
      </c>
      <c r="K220" s="2"/>
    </row>
    <row r="221" spans="1:11" x14ac:dyDescent="0.3">
      <c r="A221" s="1">
        <v>13524</v>
      </c>
      <c r="B221" s="2">
        <v>673113</v>
      </c>
      <c r="C221" s="2">
        <v>679964</v>
      </c>
      <c r="D221" s="2">
        <v>-5436</v>
      </c>
      <c r="E221" s="2">
        <v>-2</v>
      </c>
      <c r="F221" s="2"/>
      <c r="G221" s="2"/>
      <c r="H221" s="2">
        <v>-1414</v>
      </c>
      <c r="I221" s="2">
        <f t="shared" si="8"/>
        <v>-6852</v>
      </c>
      <c r="J221" s="2">
        <f t="shared" si="7"/>
        <v>673113</v>
      </c>
      <c r="K221" s="2"/>
    </row>
    <row r="222" spans="1:11" x14ac:dyDescent="0.3">
      <c r="A222" s="1">
        <v>13797</v>
      </c>
      <c r="B222" s="2">
        <v>535518</v>
      </c>
      <c r="C222" s="2"/>
      <c r="D222" s="2">
        <v>-20000</v>
      </c>
      <c r="E222" s="2"/>
      <c r="F222" s="2">
        <v>-20000</v>
      </c>
      <c r="G222" s="2">
        <v>-137100</v>
      </c>
      <c r="H222" s="2">
        <v>712618</v>
      </c>
      <c r="I222" s="2">
        <f t="shared" si="8"/>
        <v>535518</v>
      </c>
      <c r="J222" s="2">
        <f t="shared" si="7"/>
        <v>535518</v>
      </c>
      <c r="K222" s="2"/>
    </row>
    <row r="223" spans="1:11" x14ac:dyDescent="0.3">
      <c r="A223" s="1">
        <v>14282</v>
      </c>
      <c r="B223" s="2">
        <v>168305</v>
      </c>
      <c r="C223" s="2"/>
      <c r="D223" s="2"/>
      <c r="E223" s="2"/>
      <c r="F223" s="2"/>
      <c r="G223" s="2"/>
      <c r="H223" s="2">
        <v>168305</v>
      </c>
      <c r="I223" s="2">
        <f t="shared" si="8"/>
        <v>168305</v>
      </c>
      <c r="J223" s="2">
        <f t="shared" si="7"/>
        <v>168305</v>
      </c>
      <c r="K223" s="2"/>
    </row>
    <row r="224" spans="1:11" x14ac:dyDescent="0.3">
      <c r="A224" s="1">
        <v>10586</v>
      </c>
      <c r="B224" s="2">
        <v>8074</v>
      </c>
      <c r="C224" s="2">
        <v>18528</v>
      </c>
      <c r="D224" s="2">
        <v>-10454</v>
      </c>
      <c r="E224" s="2"/>
      <c r="F224" s="2"/>
      <c r="G224" s="2"/>
      <c r="H224" s="2"/>
      <c r="I224" s="2">
        <f t="shared" si="8"/>
        <v>-10454</v>
      </c>
      <c r="J224" s="2">
        <f t="shared" si="7"/>
        <v>8074</v>
      </c>
      <c r="K224" s="2"/>
    </row>
    <row r="225" spans="1:11" x14ac:dyDescent="0.3">
      <c r="A225" s="1">
        <v>11922</v>
      </c>
      <c r="B225" s="2">
        <v>1373</v>
      </c>
      <c r="C225" s="2"/>
      <c r="D225" s="2"/>
      <c r="E225" s="2"/>
      <c r="F225" s="2"/>
      <c r="G225" s="2">
        <v>1373</v>
      </c>
      <c r="H225" s="2"/>
      <c r="I225" s="2">
        <f t="shared" si="8"/>
        <v>1373</v>
      </c>
      <c r="J225" s="2">
        <f t="shared" si="7"/>
        <v>1373</v>
      </c>
      <c r="K225" s="2"/>
    </row>
    <row r="226" spans="1:11" x14ac:dyDescent="0.3">
      <c r="A226" s="1">
        <v>11730</v>
      </c>
      <c r="B226" s="2">
        <v>12457615</v>
      </c>
      <c r="C226" s="2">
        <v>6176240</v>
      </c>
      <c r="D226" s="2">
        <v>6176240</v>
      </c>
      <c r="E226" s="2"/>
      <c r="F226" s="2"/>
      <c r="G226" s="2">
        <v>105135</v>
      </c>
      <c r="H226" s="2"/>
      <c r="I226" s="2">
        <f t="shared" si="8"/>
        <v>6281375</v>
      </c>
      <c r="J226" s="2">
        <f t="shared" si="7"/>
        <v>12457615</v>
      </c>
      <c r="K226" s="2"/>
    </row>
    <row r="227" spans="1:11" x14ac:dyDescent="0.3">
      <c r="A227" s="1">
        <v>14824</v>
      </c>
      <c r="B227" s="2">
        <v>7977385</v>
      </c>
      <c r="C227" s="2">
        <v>6226240</v>
      </c>
      <c r="D227" s="2">
        <v>1867872</v>
      </c>
      <c r="E227" s="2"/>
      <c r="F227" s="2"/>
      <c r="G227" s="2">
        <v>-32994</v>
      </c>
      <c r="H227" s="2">
        <v>-83733</v>
      </c>
      <c r="I227" s="2">
        <f t="shared" si="8"/>
        <v>1751145</v>
      </c>
      <c r="J227" s="2">
        <f t="shared" si="7"/>
        <v>7977385</v>
      </c>
      <c r="K227" s="2"/>
    </row>
    <row r="228" spans="1:11" x14ac:dyDescent="0.3">
      <c r="A228" s="1">
        <v>12783</v>
      </c>
      <c r="B228" s="2">
        <v>6433278</v>
      </c>
      <c r="C228" s="2"/>
      <c r="D228" s="2">
        <v>6433278</v>
      </c>
      <c r="E228" s="2"/>
      <c r="F228" s="2"/>
      <c r="G228" s="2"/>
      <c r="H228" s="2"/>
      <c r="I228" s="2">
        <f t="shared" si="8"/>
        <v>6433278</v>
      </c>
      <c r="J228" s="2">
        <f t="shared" si="7"/>
        <v>6433278</v>
      </c>
      <c r="K228" s="2"/>
    </row>
    <row r="229" spans="1:11" x14ac:dyDescent="0.3">
      <c r="A229" s="1">
        <v>10237</v>
      </c>
      <c r="B229" s="2">
        <v>6002861</v>
      </c>
      <c r="C229" s="2"/>
      <c r="D229" s="2"/>
      <c r="E229" s="2"/>
      <c r="F229" s="2">
        <v>-1513045</v>
      </c>
      <c r="G229" s="2">
        <v>7515906</v>
      </c>
      <c r="H229" s="2"/>
      <c r="I229" s="2">
        <f t="shared" si="8"/>
        <v>6002861</v>
      </c>
      <c r="J229" s="2">
        <f t="shared" si="7"/>
        <v>6002861</v>
      </c>
      <c r="K229" s="2"/>
    </row>
    <row r="230" spans="1:11" x14ac:dyDescent="0.3">
      <c r="A230" s="1">
        <v>10487</v>
      </c>
      <c r="B230" s="2">
        <v>3584502</v>
      </c>
      <c r="C230" s="2"/>
      <c r="D230" s="2"/>
      <c r="E230" s="2"/>
      <c r="F230" s="2">
        <v>-5633430</v>
      </c>
      <c r="G230" s="2">
        <v>9217932</v>
      </c>
      <c r="H230" s="2"/>
      <c r="I230" s="2">
        <f t="shared" si="8"/>
        <v>3584502</v>
      </c>
      <c r="J230" s="2">
        <f t="shared" si="7"/>
        <v>3584502</v>
      </c>
      <c r="K230" s="2"/>
    </row>
    <row r="231" spans="1:11" x14ac:dyDescent="0.3">
      <c r="A231" s="1">
        <v>20777</v>
      </c>
      <c r="B231" s="2">
        <v>2463121</v>
      </c>
      <c r="C231" s="2">
        <v>2463121</v>
      </c>
      <c r="D231" s="2"/>
      <c r="E231" s="2"/>
      <c r="F231" s="2"/>
      <c r="G231" s="2"/>
      <c r="H231" s="2"/>
      <c r="I231" s="2">
        <f t="shared" si="8"/>
        <v>0</v>
      </c>
      <c r="J231" s="2">
        <f t="shared" si="7"/>
        <v>2463121</v>
      </c>
      <c r="K231" s="2"/>
    </row>
    <row r="232" spans="1:11" x14ac:dyDescent="0.3">
      <c r="A232" s="1">
        <v>10259</v>
      </c>
      <c r="B232" s="2">
        <v>475971</v>
      </c>
      <c r="C232" s="2">
        <v>436065</v>
      </c>
      <c r="D232" s="2">
        <v>39906</v>
      </c>
      <c r="E232" s="2"/>
      <c r="F232" s="2"/>
      <c r="G232" s="2"/>
      <c r="H232" s="2"/>
      <c r="I232" s="2">
        <f t="shared" si="8"/>
        <v>39906</v>
      </c>
      <c r="J232" s="2">
        <f t="shared" si="7"/>
        <v>475971</v>
      </c>
      <c r="K232" s="2"/>
    </row>
    <row r="233" spans="1:11" x14ac:dyDescent="0.3">
      <c r="A233" s="1">
        <v>13984</v>
      </c>
      <c r="B233" s="2">
        <v>67508</v>
      </c>
      <c r="C233" s="2"/>
      <c r="D233" s="2">
        <v>33754</v>
      </c>
      <c r="E233" s="2"/>
      <c r="F233" s="2">
        <v>33754</v>
      </c>
      <c r="G233" s="2"/>
      <c r="H233" s="2"/>
      <c r="I233" s="2">
        <f t="shared" si="8"/>
        <v>67508</v>
      </c>
      <c r="J233" s="2">
        <f t="shared" si="7"/>
        <v>67508</v>
      </c>
      <c r="K233" s="2"/>
    </row>
    <row r="234" spans="1:11" x14ac:dyDescent="0.3">
      <c r="A234" s="1">
        <v>20009</v>
      </c>
      <c r="B234" s="2">
        <v>6775436</v>
      </c>
      <c r="C234" s="2"/>
      <c r="D234" s="2">
        <v>6775436</v>
      </c>
      <c r="E234" s="2"/>
      <c r="F234" s="2"/>
      <c r="G234" s="2"/>
      <c r="H234" s="2"/>
      <c r="I234" s="2">
        <f t="shared" si="8"/>
        <v>6775436</v>
      </c>
      <c r="J234" s="2">
        <f t="shared" si="7"/>
        <v>6775436</v>
      </c>
      <c r="K234" s="2"/>
    </row>
    <row r="235" spans="1:11" x14ac:dyDescent="0.3">
      <c r="A235" s="1">
        <v>10617</v>
      </c>
      <c r="B235" s="2">
        <v>1524222</v>
      </c>
      <c r="C235" s="2"/>
      <c r="D235" s="2">
        <v>-596274</v>
      </c>
      <c r="E235" s="2"/>
      <c r="F235" s="2">
        <v>698548</v>
      </c>
      <c r="G235" s="2"/>
      <c r="H235" s="2">
        <v>1421948</v>
      </c>
      <c r="I235" s="2">
        <f t="shared" si="8"/>
        <v>1524222</v>
      </c>
      <c r="J235" s="2">
        <f t="shared" si="7"/>
        <v>1524222</v>
      </c>
      <c r="K235" s="2"/>
    </row>
    <row r="236" spans="1:11" x14ac:dyDescent="0.3">
      <c r="A236" s="1">
        <v>10376</v>
      </c>
      <c r="B236" s="2">
        <v>881911</v>
      </c>
      <c r="C236" s="2"/>
      <c r="D236" s="2"/>
      <c r="E236" s="2">
        <v>898495</v>
      </c>
      <c r="F236" s="2"/>
      <c r="G236" s="2"/>
      <c r="H236" s="2">
        <v>-16584</v>
      </c>
      <c r="I236" s="2">
        <f t="shared" si="8"/>
        <v>881911</v>
      </c>
      <c r="J236" s="2">
        <f t="shared" si="7"/>
        <v>881911</v>
      </c>
      <c r="K236" s="2"/>
    </row>
    <row r="237" spans="1:11" x14ac:dyDescent="0.3">
      <c r="A237" s="1">
        <v>14774</v>
      </c>
      <c r="B237" s="2">
        <v>802911</v>
      </c>
      <c r="C237" s="2"/>
      <c r="D237" s="2">
        <v>802911</v>
      </c>
      <c r="E237" s="2"/>
      <c r="F237" s="2"/>
      <c r="G237" s="2"/>
      <c r="H237" s="2"/>
      <c r="I237" s="2">
        <f t="shared" si="8"/>
        <v>802911</v>
      </c>
      <c r="J237" s="2">
        <f t="shared" si="7"/>
        <v>802911</v>
      </c>
      <c r="K237" s="2"/>
    </row>
    <row r="238" spans="1:11" x14ac:dyDescent="0.3">
      <c r="A238" s="1">
        <v>14836</v>
      </c>
      <c r="B238" s="2">
        <v>343484</v>
      </c>
      <c r="C238" s="2"/>
      <c r="D238" s="2"/>
      <c r="E238" s="2">
        <v>381400</v>
      </c>
      <c r="F238" s="2"/>
      <c r="G238" s="2">
        <v>-37916</v>
      </c>
      <c r="H238" s="2"/>
      <c r="I238" s="2">
        <f t="shared" si="8"/>
        <v>343484</v>
      </c>
      <c r="J238" s="2">
        <f t="shared" si="7"/>
        <v>343484</v>
      </c>
      <c r="K238" s="2"/>
    </row>
    <row r="239" spans="1:11" x14ac:dyDescent="0.3">
      <c r="A239" s="1">
        <v>10686</v>
      </c>
      <c r="B239" s="2">
        <v>49273</v>
      </c>
      <c r="C239" s="2"/>
      <c r="D239" s="2"/>
      <c r="E239" s="2"/>
      <c r="F239" s="2"/>
      <c r="G239" s="2">
        <v>-56927</v>
      </c>
      <c r="H239" s="2">
        <v>106200</v>
      </c>
      <c r="I239" s="2">
        <f t="shared" si="8"/>
        <v>49273</v>
      </c>
      <c r="J239" s="2">
        <f t="shared" si="7"/>
        <v>49273</v>
      </c>
      <c r="K239" s="2"/>
    </row>
    <row r="240" spans="1:11" x14ac:dyDescent="0.3">
      <c r="A240" s="1">
        <v>20753</v>
      </c>
      <c r="B240" s="2">
        <v>13175281</v>
      </c>
      <c r="C240" s="2"/>
      <c r="D240" s="2"/>
      <c r="E240" s="2"/>
      <c r="F240" s="2"/>
      <c r="G240" s="2">
        <v>15193</v>
      </c>
      <c r="H240" s="2">
        <v>13160089</v>
      </c>
      <c r="I240" s="2">
        <f t="shared" ref="I240:I241" si="9">H240+G240+F240+E240+D240</f>
        <v>13175282</v>
      </c>
      <c r="J240" s="2">
        <f t="shared" si="7"/>
        <v>13175281</v>
      </c>
      <c r="K240" s="2"/>
    </row>
    <row r="241" spans="1:11" x14ac:dyDescent="0.3">
      <c r="A241" s="1">
        <v>20789</v>
      </c>
      <c r="B241" s="2">
        <v>44993</v>
      </c>
      <c r="C241" s="2"/>
      <c r="D241" s="2"/>
      <c r="E241" s="2"/>
      <c r="F241" s="2"/>
      <c r="G241" s="2">
        <v>-3315</v>
      </c>
      <c r="H241" s="2">
        <v>48308</v>
      </c>
      <c r="I241" s="2">
        <f t="shared" si="9"/>
        <v>44993</v>
      </c>
      <c r="J241" s="2">
        <f t="shared" si="7"/>
        <v>44993</v>
      </c>
      <c r="K241" s="2"/>
    </row>
    <row r="242" spans="1:11" x14ac:dyDescent="0.3">
      <c r="A242" s="1">
        <v>20470</v>
      </c>
      <c r="B242" s="2">
        <v>231900372</v>
      </c>
      <c r="C242" s="2">
        <v>1318786</v>
      </c>
      <c r="D242" s="2">
        <v>19803896</v>
      </c>
      <c r="E242" s="2">
        <v>20543954</v>
      </c>
      <c r="F242" s="2">
        <v>18239803</v>
      </c>
      <c r="G242" s="2">
        <v>171993933</v>
      </c>
      <c r="H242" s="2"/>
      <c r="I242" s="2">
        <f t="shared" ref="I242:I271" si="10">H242+G242+F242+E242+D242</f>
        <v>230581586</v>
      </c>
      <c r="J242" s="2">
        <f t="shared" si="7"/>
        <v>231900372</v>
      </c>
      <c r="K242" s="2"/>
    </row>
    <row r="243" spans="1:11" x14ac:dyDescent="0.3">
      <c r="A243" s="1">
        <v>14944</v>
      </c>
      <c r="B243" s="2">
        <v>7761174</v>
      </c>
      <c r="C243" s="2"/>
      <c r="D243" s="2">
        <v>681112</v>
      </c>
      <c r="E243" s="2">
        <v>1590045</v>
      </c>
      <c r="F243" s="2"/>
      <c r="G243" s="2">
        <v>2828828</v>
      </c>
      <c r="H243" s="2">
        <v>2661189</v>
      </c>
      <c r="I243" s="2">
        <f t="shared" si="10"/>
        <v>7761174</v>
      </c>
      <c r="J243" s="2">
        <f t="shared" si="7"/>
        <v>7761174</v>
      </c>
      <c r="K243" s="2"/>
    </row>
    <row r="244" spans="1:11" x14ac:dyDescent="0.3">
      <c r="A244" s="1">
        <v>13416</v>
      </c>
      <c r="B244" s="2">
        <v>4347703</v>
      </c>
      <c r="C244" s="2"/>
      <c r="D244" s="2">
        <v>144923</v>
      </c>
      <c r="E244" s="2"/>
      <c r="F244" s="2">
        <v>144923</v>
      </c>
      <c r="G244" s="2">
        <v>1449234</v>
      </c>
      <c r="H244" s="2">
        <v>2608622</v>
      </c>
      <c r="I244" s="2">
        <f t="shared" si="10"/>
        <v>4347702</v>
      </c>
      <c r="J244" s="2">
        <f t="shared" si="7"/>
        <v>4347703</v>
      </c>
      <c r="K244" s="2"/>
    </row>
    <row r="245" spans="1:11" x14ac:dyDescent="0.3">
      <c r="A245" s="1">
        <v>20327</v>
      </c>
      <c r="B245" s="2">
        <v>4334072</v>
      </c>
      <c r="C245" s="2"/>
      <c r="D245" s="2">
        <v>1105050</v>
      </c>
      <c r="E245" s="2">
        <v>656237</v>
      </c>
      <c r="F245" s="2">
        <v>577157</v>
      </c>
      <c r="G245" s="2">
        <v>1995628</v>
      </c>
      <c r="H245" s="2"/>
      <c r="I245" s="2">
        <f t="shared" si="10"/>
        <v>4334072</v>
      </c>
      <c r="J245" s="2">
        <f t="shared" si="7"/>
        <v>4334072</v>
      </c>
      <c r="K245" s="2"/>
    </row>
    <row r="246" spans="1:11" x14ac:dyDescent="0.3">
      <c r="A246" s="1">
        <v>95144</v>
      </c>
      <c r="B246" s="2">
        <v>3699510</v>
      </c>
      <c r="C246" s="2"/>
      <c r="D246" s="2">
        <v>400483</v>
      </c>
      <c r="E246" s="2">
        <v>-411259</v>
      </c>
      <c r="F246" s="2">
        <v>181237</v>
      </c>
      <c r="G246" s="2">
        <v>92597</v>
      </c>
      <c r="H246" s="2">
        <v>3436452</v>
      </c>
      <c r="I246" s="2">
        <f t="shared" si="10"/>
        <v>3699510</v>
      </c>
      <c r="J246" s="2">
        <f t="shared" si="7"/>
        <v>3699510</v>
      </c>
      <c r="K246" s="2"/>
    </row>
    <row r="247" spans="1:11" x14ac:dyDescent="0.3">
      <c r="A247" s="1">
        <v>13458</v>
      </c>
      <c r="B247" s="2">
        <v>3340129</v>
      </c>
      <c r="C247" s="2"/>
      <c r="D247" s="2">
        <v>28800</v>
      </c>
      <c r="E247" s="2"/>
      <c r="F247" s="2">
        <v>28800</v>
      </c>
      <c r="G247" s="2">
        <v>348000</v>
      </c>
      <c r="H247" s="2">
        <v>2934529</v>
      </c>
      <c r="I247" s="2">
        <f t="shared" si="10"/>
        <v>3340129</v>
      </c>
      <c r="J247" s="2">
        <f t="shared" si="7"/>
        <v>3340129</v>
      </c>
      <c r="K247" s="2"/>
    </row>
    <row r="248" spans="1:11" x14ac:dyDescent="0.3">
      <c r="A248" s="1">
        <v>11721</v>
      </c>
      <c r="B248" s="2">
        <v>2334041</v>
      </c>
      <c r="C248" s="2">
        <v>85778</v>
      </c>
      <c r="D248" s="2">
        <v>374216</v>
      </c>
      <c r="E248" s="2"/>
      <c r="F248" s="2">
        <v>384874</v>
      </c>
      <c r="G248" s="2">
        <v>1489172</v>
      </c>
      <c r="H248" s="2"/>
      <c r="I248" s="2">
        <f t="shared" si="10"/>
        <v>2248262</v>
      </c>
      <c r="J248" s="2">
        <f t="shared" si="7"/>
        <v>2334041</v>
      </c>
      <c r="K248" s="2"/>
    </row>
    <row r="249" spans="1:11" x14ac:dyDescent="0.3">
      <c r="A249" s="1">
        <v>15114</v>
      </c>
      <c r="B249" s="2">
        <v>2180249</v>
      </c>
      <c r="C249" s="2"/>
      <c r="D249" s="2">
        <v>222337</v>
      </c>
      <c r="E249" s="2">
        <v>846226</v>
      </c>
      <c r="F249" s="2">
        <v>222337</v>
      </c>
      <c r="G249" s="2">
        <v>889349</v>
      </c>
      <c r="H249" s="2"/>
      <c r="I249" s="2">
        <f t="shared" si="10"/>
        <v>2180249</v>
      </c>
      <c r="J249" s="2">
        <f t="shared" si="7"/>
        <v>2180249</v>
      </c>
      <c r="K249" s="2"/>
    </row>
    <row r="250" spans="1:11" x14ac:dyDescent="0.3">
      <c r="A250" s="1">
        <v>13594</v>
      </c>
      <c r="B250" s="2">
        <v>1122588</v>
      </c>
      <c r="C250" s="2"/>
      <c r="D250" s="2">
        <v>952021</v>
      </c>
      <c r="E250" s="2">
        <v>-124805</v>
      </c>
      <c r="F250" s="2"/>
      <c r="G250" s="2">
        <v>-75726</v>
      </c>
      <c r="H250" s="2">
        <v>371099</v>
      </c>
      <c r="I250" s="2">
        <f t="shared" si="10"/>
        <v>1122589</v>
      </c>
      <c r="J250" s="2">
        <f t="shared" si="7"/>
        <v>1122588</v>
      </c>
      <c r="K250" s="2"/>
    </row>
    <row r="251" spans="1:11" x14ac:dyDescent="0.3">
      <c r="A251" s="1">
        <v>14657</v>
      </c>
      <c r="B251" s="2">
        <v>948557</v>
      </c>
      <c r="C251" s="2"/>
      <c r="D251" s="2">
        <v>89917</v>
      </c>
      <c r="E251" s="2"/>
      <c r="F251" s="2"/>
      <c r="G251" s="2">
        <v>629418</v>
      </c>
      <c r="H251" s="2">
        <v>229222</v>
      </c>
      <c r="I251" s="2">
        <f t="shared" si="10"/>
        <v>948557</v>
      </c>
      <c r="J251" s="2">
        <f t="shared" si="7"/>
        <v>948557</v>
      </c>
      <c r="K251" s="2"/>
    </row>
    <row r="252" spans="1:11" x14ac:dyDescent="0.3">
      <c r="A252" s="1">
        <v>13326</v>
      </c>
      <c r="B252" s="2">
        <v>918821</v>
      </c>
      <c r="C252" s="2">
        <v>311272</v>
      </c>
      <c r="D252" s="2"/>
      <c r="E252" s="2"/>
      <c r="F252" s="2"/>
      <c r="G252" s="2"/>
      <c r="H252" s="2">
        <v>607548</v>
      </c>
      <c r="I252" s="2">
        <f t="shared" si="10"/>
        <v>607548</v>
      </c>
      <c r="J252" s="2">
        <f t="shared" si="7"/>
        <v>918821</v>
      </c>
      <c r="K252" s="2"/>
    </row>
    <row r="253" spans="1:11" x14ac:dyDescent="0.3">
      <c r="A253" s="1">
        <v>14613</v>
      </c>
      <c r="B253" s="2">
        <v>774139</v>
      </c>
      <c r="C253" s="2"/>
      <c r="D253" s="2">
        <v>783901</v>
      </c>
      <c r="E253" s="2"/>
      <c r="F253" s="2"/>
      <c r="G253" s="2">
        <v>4021</v>
      </c>
      <c r="H253" s="2">
        <v>-13784</v>
      </c>
      <c r="I253" s="2">
        <f t="shared" si="10"/>
        <v>774138</v>
      </c>
      <c r="J253" s="2">
        <f t="shared" si="7"/>
        <v>774139</v>
      </c>
      <c r="K253" s="2"/>
    </row>
    <row r="254" spans="1:11" x14ac:dyDescent="0.3">
      <c r="A254" s="1">
        <v>95123</v>
      </c>
      <c r="B254" s="2">
        <v>653931</v>
      </c>
      <c r="C254" s="2"/>
      <c r="D254" s="2">
        <v>174010</v>
      </c>
      <c r="E254" s="2">
        <v>168397</v>
      </c>
      <c r="F254" s="2"/>
      <c r="G254" s="2">
        <v>175511</v>
      </c>
      <c r="H254" s="2">
        <v>136013</v>
      </c>
      <c r="I254" s="2">
        <f t="shared" si="10"/>
        <v>653931</v>
      </c>
      <c r="J254" s="2">
        <f t="shared" si="7"/>
        <v>653931</v>
      </c>
      <c r="K254" s="2"/>
    </row>
    <row r="255" spans="1:11" x14ac:dyDescent="0.3">
      <c r="A255" s="1">
        <v>14592</v>
      </c>
      <c r="B255" s="2">
        <v>584600</v>
      </c>
      <c r="C255" s="2"/>
      <c r="D255" s="2">
        <v>27000</v>
      </c>
      <c r="E255" s="2">
        <v>-129600</v>
      </c>
      <c r="F255" s="2">
        <v>27000</v>
      </c>
      <c r="G255" s="2">
        <v>432000</v>
      </c>
      <c r="H255" s="2">
        <v>228200</v>
      </c>
      <c r="I255" s="2">
        <f t="shared" si="10"/>
        <v>584600</v>
      </c>
      <c r="J255" s="2">
        <f t="shared" si="7"/>
        <v>584600</v>
      </c>
      <c r="K255" s="2"/>
    </row>
    <row r="256" spans="1:11" x14ac:dyDescent="0.3">
      <c r="A256" s="1">
        <v>14544</v>
      </c>
      <c r="B256" s="2">
        <v>519397</v>
      </c>
      <c r="C256" s="2"/>
      <c r="D256" s="2"/>
      <c r="E256" s="2"/>
      <c r="F256" s="2"/>
      <c r="G256" s="2"/>
      <c r="H256" s="2">
        <v>519397</v>
      </c>
      <c r="I256" s="2">
        <f t="shared" si="10"/>
        <v>519397</v>
      </c>
      <c r="J256" s="2">
        <f t="shared" si="7"/>
        <v>519397</v>
      </c>
      <c r="K256" s="2"/>
    </row>
    <row r="257" spans="1:11" x14ac:dyDescent="0.3">
      <c r="A257" s="1">
        <v>14705</v>
      </c>
      <c r="B257" s="2">
        <v>386237</v>
      </c>
      <c r="C257" s="2"/>
      <c r="D257" s="2"/>
      <c r="E257" s="2"/>
      <c r="F257" s="2"/>
      <c r="G257" s="2">
        <v>-20000</v>
      </c>
      <c r="H257" s="2">
        <v>406237</v>
      </c>
      <c r="I257" s="2">
        <f t="shared" si="10"/>
        <v>386237</v>
      </c>
      <c r="J257" s="2">
        <f t="shared" si="7"/>
        <v>386237</v>
      </c>
      <c r="K257" s="2"/>
    </row>
    <row r="258" spans="1:11" x14ac:dyDescent="0.3">
      <c r="A258" s="1">
        <v>11958</v>
      </c>
      <c r="B258" s="2">
        <v>365400</v>
      </c>
      <c r="C258" s="2"/>
      <c r="D258" s="2">
        <v>292465</v>
      </c>
      <c r="E258" s="2"/>
      <c r="F258" s="2">
        <v>121800</v>
      </c>
      <c r="G258" s="2">
        <v>-48865</v>
      </c>
      <c r="H258" s="2"/>
      <c r="I258" s="2">
        <f t="shared" si="10"/>
        <v>365400</v>
      </c>
      <c r="J258" s="2">
        <f t="shared" ref="J258:J289" si="11">B258-K258</f>
        <v>365400</v>
      </c>
      <c r="K258" s="2"/>
    </row>
    <row r="259" spans="1:11" x14ac:dyDescent="0.3">
      <c r="A259" s="1">
        <v>14904</v>
      </c>
      <c r="B259" s="2">
        <v>251416</v>
      </c>
      <c r="C259" s="2"/>
      <c r="D259" s="2">
        <v>58000</v>
      </c>
      <c r="E259" s="2"/>
      <c r="F259" s="2">
        <v>58000</v>
      </c>
      <c r="G259" s="2">
        <v>136000</v>
      </c>
      <c r="H259" s="2">
        <v>-584</v>
      </c>
      <c r="I259" s="2">
        <f t="shared" si="10"/>
        <v>251416</v>
      </c>
      <c r="J259" s="2">
        <f t="shared" si="11"/>
        <v>251416</v>
      </c>
      <c r="K259" s="2"/>
    </row>
    <row r="260" spans="1:11" x14ac:dyDescent="0.3">
      <c r="A260" s="1">
        <v>13577</v>
      </c>
      <c r="B260" s="2">
        <v>225511</v>
      </c>
      <c r="C260" s="2"/>
      <c r="D260" s="2">
        <v>37056</v>
      </c>
      <c r="E260" s="2"/>
      <c r="F260" s="2">
        <v>37056</v>
      </c>
      <c r="G260" s="2">
        <v>111169</v>
      </c>
      <c r="H260" s="2">
        <v>40230</v>
      </c>
      <c r="I260" s="2">
        <f t="shared" si="10"/>
        <v>225511</v>
      </c>
      <c r="J260" s="2">
        <f t="shared" si="11"/>
        <v>225511</v>
      </c>
      <c r="K260" s="2"/>
    </row>
    <row r="261" spans="1:11" x14ac:dyDescent="0.3">
      <c r="A261" s="1">
        <v>95263</v>
      </c>
      <c r="B261" s="2">
        <v>221000</v>
      </c>
      <c r="C261" s="2"/>
      <c r="D261" s="2"/>
      <c r="E261" s="2"/>
      <c r="F261" s="2"/>
      <c r="G261" s="2"/>
      <c r="H261" s="2">
        <v>221000</v>
      </c>
      <c r="I261" s="2">
        <f t="shared" si="10"/>
        <v>221000</v>
      </c>
      <c r="J261" s="2">
        <f t="shared" si="11"/>
        <v>221000</v>
      </c>
      <c r="K261" s="2"/>
    </row>
    <row r="262" spans="1:11" x14ac:dyDescent="0.3">
      <c r="A262" s="1">
        <v>95178</v>
      </c>
      <c r="B262" s="2">
        <v>97500</v>
      </c>
      <c r="C262" s="2"/>
      <c r="D262" s="2"/>
      <c r="E262" s="2">
        <v>30800</v>
      </c>
      <c r="F262" s="2">
        <v>-30800</v>
      </c>
      <c r="G262" s="2">
        <v>112000</v>
      </c>
      <c r="H262" s="2">
        <v>-14500</v>
      </c>
      <c r="I262" s="2">
        <f t="shared" si="10"/>
        <v>97500</v>
      </c>
      <c r="J262" s="2">
        <f t="shared" si="11"/>
        <v>97500</v>
      </c>
      <c r="K262" s="2"/>
    </row>
    <row r="263" spans="1:11" x14ac:dyDescent="0.3">
      <c r="A263" s="1">
        <v>95289</v>
      </c>
      <c r="B263" s="2">
        <v>75000</v>
      </c>
      <c r="C263" s="2"/>
      <c r="D263" s="2"/>
      <c r="E263" s="2"/>
      <c r="F263" s="2"/>
      <c r="G263" s="2">
        <v>45000</v>
      </c>
      <c r="H263" s="2">
        <v>30000</v>
      </c>
      <c r="I263" s="2">
        <f t="shared" si="10"/>
        <v>75000</v>
      </c>
      <c r="J263" s="2">
        <f t="shared" si="11"/>
        <v>75000</v>
      </c>
      <c r="K263" s="2"/>
    </row>
    <row r="264" spans="1:11" x14ac:dyDescent="0.3">
      <c r="A264" s="1">
        <v>14732</v>
      </c>
      <c r="B264" s="2">
        <v>70000</v>
      </c>
      <c r="C264" s="2"/>
      <c r="D264" s="2">
        <v>14000</v>
      </c>
      <c r="E264" s="2">
        <v>-67200</v>
      </c>
      <c r="F264" s="2">
        <v>14000</v>
      </c>
      <c r="G264" s="2">
        <v>109200</v>
      </c>
      <c r="H264" s="2"/>
      <c r="I264" s="2">
        <f t="shared" si="10"/>
        <v>70000</v>
      </c>
      <c r="J264" s="2">
        <f t="shared" si="11"/>
        <v>70000</v>
      </c>
      <c r="K264" s="2"/>
    </row>
    <row r="265" spans="1:11" x14ac:dyDescent="0.3">
      <c r="A265" s="1">
        <v>95005</v>
      </c>
      <c r="B265" s="2">
        <v>60442</v>
      </c>
      <c r="C265" s="2"/>
      <c r="D265" s="2">
        <v>60442</v>
      </c>
      <c r="E265" s="2"/>
      <c r="F265" s="2"/>
      <c r="G265" s="2"/>
      <c r="H265" s="2"/>
      <c r="I265" s="2">
        <f t="shared" si="10"/>
        <v>60442</v>
      </c>
      <c r="J265" s="2">
        <f t="shared" si="11"/>
        <v>60442</v>
      </c>
      <c r="K265" s="2"/>
    </row>
    <row r="266" spans="1:11" x14ac:dyDescent="0.3">
      <c r="A266" s="1">
        <v>10651</v>
      </c>
      <c r="B266" s="2">
        <v>52543</v>
      </c>
      <c r="C266" s="2"/>
      <c r="D266" s="2"/>
      <c r="E266" s="2"/>
      <c r="F266" s="2"/>
      <c r="G266" s="2"/>
      <c r="H266" s="2">
        <v>52543</v>
      </c>
      <c r="I266" s="2">
        <f t="shared" si="10"/>
        <v>52543</v>
      </c>
      <c r="J266" s="2">
        <f t="shared" si="11"/>
        <v>52543</v>
      </c>
      <c r="K266" s="2"/>
    </row>
    <row r="267" spans="1:11" x14ac:dyDescent="0.3">
      <c r="A267" s="1">
        <v>95276</v>
      </c>
      <c r="B267" s="2">
        <v>48000</v>
      </c>
      <c r="C267" s="2"/>
      <c r="D267" s="2">
        <v>16500</v>
      </c>
      <c r="E267" s="2">
        <v>16500</v>
      </c>
      <c r="F267" s="2"/>
      <c r="G267" s="2">
        <v>15000</v>
      </c>
      <c r="H267" s="2"/>
      <c r="I267" s="2">
        <f t="shared" si="10"/>
        <v>48000</v>
      </c>
      <c r="J267" s="2">
        <f t="shared" si="11"/>
        <v>48000</v>
      </c>
      <c r="K267" s="2"/>
    </row>
    <row r="268" spans="1:11" x14ac:dyDescent="0.3">
      <c r="A268" s="1">
        <v>10878</v>
      </c>
      <c r="B268" s="2">
        <v>45627</v>
      </c>
      <c r="C268" s="2"/>
      <c r="D268" s="2"/>
      <c r="E268" s="2"/>
      <c r="F268" s="2"/>
      <c r="G268" s="2"/>
      <c r="H268" s="2">
        <v>45627</v>
      </c>
      <c r="I268" s="2">
        <f t="shared" si="10"/>
        <v>45627</v>
      </c>
      <c r="J268" s="2">
        <f t="shared" si="11"/>
        <v>45627</v>
      </c>
      <c r="K268" s="2"/>
    </row>
    <row r="269" spans="1:11" x14ac:dyDescent="0.3">
      <c r="A269" s="1">
        <v>95091</v>
      </c>
      <c r="B269" s="2">
        <v>8148</v>
      </c>
      <c r="C269" s="2"/>
      <c r="D269" s="2">
        <v>8148</v>
      </c>
      <c r="E269" s="2"/>
      <c r="F269" s="2"/>
      <c r="G269" s="2"/>
      <c r="H269" s="2"/>
      <c r="I269" s="2">
        <f t="shared" si="10"/>
        <v>8148</v>
      </c>
      <c r="J269" s="2">
        <f t="shared" si="11"/>
        <v>8148</v>
      </c>
      <c r="K269" s="2"/>
    </row>
    <row r="270" spans="1:11" x14ac:dyDescent="0.3">
      <c r="A270" s="1">
        <v>12147</v>
      </c>
      <c r="B270" s="2">
        <v>6000</v>
      </c>
      <c r="C270" s="2"/>
      <c r="D270" s="2"/>
      <c r="E270" s="2"/>
      <c r="F270" s="2"/>
      <c r="G270" s="2"/>
      <c r="H270" s="2">
        <v>6000</v>
      </c>
      <c r="I270" s="2">
        <f t="shared" si="10"/>
        <v>6000</v>
      </c>
      <c r="J270" s="2">
        <f t="shared" si="11"/>
        <v>6000</v>
      </c>
      <c r="K270" s="2"/>
    </row>
    <row r="271" spans="1:11" x14ac:dyDescent="0.3">
      <c r="A271" s="1">
        <v>12164</v>
      </c>
      <c r="B271" s="2">
        <v>1621</v>
      </c>
      <c r="C271" s="2"/>
      <c r="D271" s="2"/>
      <c r="E271" s="2"/>
      <c r="F271" s="2"/>
      <c r="G271" s="2"/>
      <c r="H271" s="2">
        <v>1621</v>
      </c>
      <c r="I271" s="2">
        <f t="shared" si="10"/>
        <v>1621</v>
      </c>
      <c r="J271" s="2">
        <f t="shared" si="11"/>
        <v>1621</v>
      </c>
      <c r="K271" s="2"/>
    </row>
    <row r="272" spans="1:11" x14ac:dyDescent="0.3">
      <c r="A272" s="1">
        <v>95300</v>
      </c>
      <c r="B272" s="2">
        <v>1780000</v>
      </c>
      <c r="C272" s="2"/>
      <c r="D272" s="2"/>
      <c r="E272" s="2"/>
      <c r="F272" s="2"/>
      <c r="G272" s="2"/>
      <c r="H272" s="2">
        <v>1780000</v>
      </c>
      <c r="I272" s="2">
        <f t="shared" ref="I272:I288" si="12">H272+G272+F272+E272+D272</f>
        <v>1780000</v>
      </c>
      <c r="J272" s="2">
        <f t="shared" si="11"/>
        <v>1780000</v>
      </c>
      <c r="K272" s="2"/>
    </row>
    <row r="273" spans="1:11" x14ac:dyDescent="0.3">
      <c r="A273" s="1">
        <v>15048</v>
      </c>
      <c r="B273" s="2">
        <v>576638</v>
      </c>
      <c r="C273" s="2"/>
      <c r="D273" s="2"/>
      <c r="E273" s="2"/>
      <c r="F273" s="2"/>
      <c r="G273" s="2">
        <v>576638</v>
      </c>
      <c r="H273" s="2"/>
      <c r="I273" s="2">
        <f t="shared" si="12"/>
        <v>576638</v>
      </c>
      <c r="J273" s="2">
        <f t="shared" si="11"/>
        <v>576638</v>
      </c>
      <c r="K273" s="2"/>
    </row>
    <row r="274" spans="1:11" x14ac:dyDescent="0.3">
      <c r="A274" s="1">
        <v>95304</v>
      </c>
      <c r="B274" s="2">
        <v>445000</v>
      </c>
      <c r="C274" s="2"/>
      <c r="D274" s="2"/>
      <c r="E274" s="2"/>
      <c r="F274" s="2"/>
      <c r="G274" s="2"/>
      <c r="H274" s="2">
        <v>445000</v>
      </c>
      <c r="I274" s="2">
        <f t="shared" si="12"/>
        <v>445000</v>
      </c>
      <c r="J274" s="2">
        <f t="shared" si="11"/>
        <v>445000</v>
      </c>
      <c r="K274" s="2"/>
    </row>
    <row r="275" spans="1:11" x14ac:dyDescent="0.3">
      <c r="A275" s="1">
        <v>95301</v>
      </c>
      <c r="B275" s="2">
        <v>445000</v>
      </c>
      <c r="C275" s="2"/>
      <c r="D275" s="2"/>
      <c r="E275" s="2"/>
      <c r="F275" s="2"/>
      <c r="G275" s="2"/>
      <c r="H275" s="2">
        <v>445000</v>
      </c>
      <c r="I275" s="2">
        <f t="shared" si="12"/>
        <v>445000</v>
      </c>
      <c r="J275" s="2">
        <f t="shared" si="11"/>
        <v>445000</v>
      </c>
      <c r="K275" s="2"/>
    </row>
    <row r="276" spans="1:11" x14ac:dyDescent="0.3">
      <c r="A276" s="1">
        <v>95316</v>
      </c>
      <c r="B276" s="2">
        <v>445000</v>
      </c>
      <c r="C276" s="2"/>
      <c r="D276" s="2"/>
      <c r="E276" s="2"/>
      <c r="F276" s="2"/>
      <c r="G276" s="2">
        <v>445000</v>
      </c>
      <c r="H276" s="2"/>
      <c r="I276" s="2">
        <f t="shared" si="12"/>
        <v>445000</v>
      </c>
      <c r="J276" s="2">
        <f t="shared" si="11"/>
        <v>445000</v>
      </c>
      <c r="K276" s="2"/>
    </row>
    <row r="277" spans="1:11" x14ac:dyDescent="0.3">
      <c r="A277" s="1">
        <v>95295</v>
      </c>
      <c r="B277" s="2">
        <v>445000</v>
      </c>
      <c r="C277" s="2"/>
      <c r="D277" s="2"/>
      <c r="E277" s="2"/>
      <c r="F277" s="2"/>
      <c r="G277" s="2"/>
      <c r="H277" s="2">
        <v>445000</v>
      </c>
      <c r="I277" s="2">
        <f t="shared" si="12"/>
        <v>445000</v>
      </c>
      <c r="J277" s="2">
        <f t="shared" si="11"/>
        <v>445000</v>
      </c>
      <c r="K277" s="2"/>
    </row>
    <row r="278" spans="1:11" x14ac:dyDescent="0.3">
      <c r="A278" s="1">
        <v>95302</v>
      </c>
      <c r="B278" s="2">
        <v>445000</v>
      </c>
      <c r="C278" s="2"/>
      <c r="D278" s="2"/>
      <c r="E278" s="2"/>
      <c r="F278" s="2"/>
      <c r="G278" s="2"/>
      <c r="H278" s="2">
        <v>445000</v>
      </c>
      <c r="I278" s="2">
        <f t="shared" si="12"/>
        <v>445000</v>
      </c>
      <c r="J278" s="2">
        <f t="shared" si="11"/>
        <v>445000</v>
      </c>
      <c r="K278" s="2"/>
    </row>
    <row r="279" spans="1:11" x14ac:dyDescent="0.3">
      <c r="A279" s="1">
        <v>95298</v>
      </c>
      <c r="B279" s="2">
        <v>445000</v>
      </c>
      <c r="C279" s="2"/>
      <c r="D279" s="2"/>
      <c r="E279" s="2"/>
      <c r="F279" s="2"/>
      <c r="G279" s="2"/>
      <c r="H279" s="2">
        <v>445000</v>
      </c>
      <c r="I279" s="2">
        <f t="shared" si="12"/>
        <v>445000</v>
      </c>
      <c r="J279" s="2">
        <f t="shared" si="11"/>
        <v>445000</v>
      </c>
      <c r="K279" s="2"/>
    </row>
    <row r="280" spans="1:11" x14ac:dyDescent="0.3">
      <c r="A280" s="1">
        <v>95315</v>
      </c>
      <c r="B280" s="2">
        <v>445000</v>
      </c>
      <c r="C280" s="2"/>
      <c r="D280" s="2"/>
      <c r="E280" s="2"/>
      <c r="F280" s="2"/>
      <c r="G280" s="2">
        <v>445000</v>
      </c>
      <c r="H280" s="2"/>
      <c r="I280" s="2">
        <f t="shared" si="12"/>
        <v>445000</v>
      </c>
      <c r="J280" s="2">
        <f t="shared" si="11"/>
        <v>445000</v>
      </c>
      <c r="K280" s="2"/>
    </row>
    <row r="281" spans="1:11" x14ac:dyDescent="0.3">
      <c r="A281" s="1">
        <v>95318</v>
      </c>
      <c r="B281" s="2">
        <v>445000</v>
      </c>
      <c r="C281" s="2"/>
      <c r="D281" s="2">
        <v>445000</v>
      </c>
      <c r="E281" s="2"/>
      <c r="F281" s="2"/>
      <c r="G281" s="2"/>
      <c r="H281" s="2"/>
      <c r="I281" s="2">
        <f t="shared" si="12"/>
        <v>445000</v>
      </c>
      <c r="J281" s="2">
        <f t="shared" si="11"/>
        <v>445000</v>
      </c>
      <c r="K281" s="2"/>
    </row>
    <row r="282" spans="1:11" x14ac:dyDescent="0.3">
      <c r="A282" s="1">
        <v>95294</v>
      </c>
      <c r="B282" s="2">
        <v>445000</v>
      </c>
      <c r="C282" s="2"/>
      <c r="D282" s="2"/>
      <c r="E282" s="2"/>
      <c r="F282" s="2"/>
      <c r="G282" s="2"/>
      <c r="H282" s="2">
        <v>445000</v>
      </c>
      <c r="I282" s="2">
        <f t="shared" si="12"/>
        <v>445000</v>
      </c>
      <c r="J282" s="2">
        <f t="shared" si="11"/>
        <v>445000</v>
      </c>
      <c r="K282" s="2"/>
    </row>
    <row r="283" spans="1:11" x14ac:dyDescent="0.3">
      <c r="A283" s="1">
        <v>95293</v>
      </c>
      <c r="B283" s="2">
        <v>445000</v>
      </c>
      <c r="C283" s="2"/>
      <c r="D283" s="2"/>
      <c r="E283" s="2"/>
      <c r="F283" s="2"/>
      <c r="G283" s="2"/>
      <c r="H283" s="2">
        <v>445000</v>
      </c>
      <c r="I283" s="2">
        <f t="shared" si="12"/>
        <v>445000</v>
      </c>
      <c r="J283" s="2">
        <f t="shared" si="11"/>
        <v>445000</v>
      </c>
      <c r="K283" s="2"/>
    </row>
    <row r="284" spans="1:11" x14ac:dyDescent="0.3">
      <c r="A284" s="1">
        <v>95299</v>
      </c>
      <c r="B284" s="2">
        <v>445000</v>
      </c>
      <c r="C284" s="2"/>
      <c r="D284" s="2"/>
      <c r="E284" s="2"/>
      <c r="F284" s="2"/>
      <c r="G284" s="2"/>
      <c r="H284" s="2">
        <v>445000</v>
      </c>
      <c r="I284" s="2">
        <f t="shared" si="12"/>
        <v>445000</v>
      </c>
      <c r="J284" s="2">
        <f t="shared" si="11"/>
        <v>445000</v>
      </c>
      <c r="K284" s="2"/>
    </row>
    <row r="285" spans="1:11" x14ac:dyDescent="0.3">
      <c r="A285" s="1">
        <v>95303</v>
      </c>
      <c r="B285" s="2">
        <v>420000</v>
      </c>
      <c r="C285" s="2"/>
      <c r="D285" s="2"/>
      <c r="E285" s="2"/>
      <c r="F285" s="2"/>
      <c r="G285" s="2"/>
      <c r="H285" s="2">
        <v>420000</v>
      </c>
      <c r="I285" s="2">
        <f t="shared" si="12"/>
        <v>420000</v>
      </c>
      <c r="J285" s="2">
        <f t="shared" si="11"/>
        <v>420000</v>
      </c>
      <c r="K285" s="2"/>
    </row>
    <row r="286" spans="1:11" x14ac:dyDescent="0.3">
      <c r="A286" s="1">
        <v>95296</v>
      </c>
      <c r="B286" s="2">
        <v>395000</v>
      </c>
      <c r="C286" s="2"/>
      <c r="D286" s="2"/>
      <c r="E286" s="2"/>
      <c r="F286" s="2"/>
      <c r="G286" s="2"/>
      <c r="H286" s="2">
        <v>395000</v>
      </c>
      <c r="I286" s="2">
        <f t="shared" si="12"/>
        <v>395000</v>
      </c>
      <c r="J286" s="2">
        <f t="shared" si="11"/>
        <v>395000</v>
      </c>
      <c r="K286" s="2"/>
    </row>
    <row r="287" spans="1:11" x14ac:dyDescent="0.3">
      <c r="A287" s="1">
        <v>95128</v>
      </c>
      <c r="B287" s="2">
        <v>289826</v>
      </c>
      <c r="C287" s="2"/>
      <c r="D287" s="2">
        <v>289826</v>
      </c>
      <c r="E287" s="2"/>
      <c r="F287" s="2"/>
      <c r="G287" s="2"/>
      <c r="H287" s="2"/>
      <c r="I287" s="2">
        <f t="shared" si="12"/>
        <v>289826</v>
      </c>
      <c r="J287" s="2">
        <f t="shared" si="11"/>
        <v>289826</v>
      </c>
      <c r="K287" s="2"/>
    </row>
    <row r="288" spans="1:11" x14ac:dyDescent="0.3">
      <c r="A288" s="1">
        <v>95297</v>
      </c>
      <c r="B288" s="2">
        <v>36605</v>
      </c>
      <c r="C288" s="2"/>
      <c r="D288" s="2"/>
      <c r="E288" s="2"/>
      <c r="F288" s="2"/>
      <c r="G288" s="2"/>
      <c r="H288" s="2">
        <v>36605</v>
      </c>
      <c r="I288" s="2">
        <f t="shared" si="12"/>
        <v>36605</v>
      </c>
      <c r="J288" s="2">
        <f t="shared" si="11"/>
        <v>36605</v>
      </c>
      <c r="K288" s="2"/>
    </row>
    <row r="289" spans="1:11" x14ac:dyDescent="0.3">
      <c r="A289" s="1">
        <v>14647</v>
      </c>
      <c r="B289" s="2">
        <v>47457</v>
      </c>
      <c r="C289" s="2"/>
      <c r="D289" s="2"/>
      <c r="E289" s="2">
        <v>10233</v>
      </c>
      <c r="F289" s="2"/>
      <c r="G289" s="2">
        <v>-18745</v>
      </c>
      <c r="H289" s="2">
        <v>55969</v>
      </c>
      <c r="I289" s="2">
        <f>H289+G289+F289+E289+D289</f>
        <v>47457</v>
      </c>
      <c r="J289" s="2">
        <f t="shared" si="11"/>
        <v>47457</v>
      </c>
      <c r="K28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Joaquim Macaringue</cp:lastModifiedBy>
  <dcterms:created xsi:type="dcterms:W3CDTF">2025-12-02T05:50:56Z</dcterms:created>
  <dcterms:modified xsi:type="dcterms:W3CDTF">2025-12-12T08:28:45Z</dcterms:modified>
</cp:coreProperties>
</file>